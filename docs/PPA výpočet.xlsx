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adav\Desktop\"/>
    </mc:Choice>
  </mc:AlternateContent>
  <xr:revisionPtr revIDLastSave="0" documentId="13_ncr:1_{AF584582-203E-4DE0-8E5B-4B764734644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ashflow FVE (15)" sheetId="1" r:id="rId1"/>
    <sheet name="odkupní tabulka (15)" sheetId="5" r:id="rId2"/>
    <sheet name="pronájem BESS (10)" sheetId="6" r:id="rId3"/>
    <sheet name="odkupní tabulka (10)" sheetId="7" r:id="rId4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9" i="7" l="1"/>
  <c r="H50" i="7" s="1"/>
  <c r="E28" i="6"/>
  <c r="E29" i="6" s="1"/>
  <c r="N32" i="7"/>
  <c r="N37" i="7" s="1"/>
  <c r="N39" i="7"/>
  <c r="D24" i="6"/>
  <c r="D25" i="6"/>
  <c r="E8" i="6"/>
  <c r="F13" i="6"/>
  <c r="G13" i="6"/>
  <c r="H13" i="6"/>
  <c r="I13" i="6"/>
  <c r="J13" i="6"/>
  <c r="K13" i="6"/>
  <c r="L13" i="6"/>
  <c r="M13" i="6"/>
  <c r="N13" i="6"/>
  <c r="E37" i="6"/>
  <c r="F37" i="6" s="1"/>
  <c r="E43" i="6" s="1"/>
  <c r="AI210" i="7"/>
  <c r="AA210" i="7"/>
  <c r="AI198" i="7"/>
  <c r="AA198" i="7"/>
  <c r="AI186" i="7"/>
  <c r="AA186" i="7"/>
  <c r="AI174" i="7"/>
  <c r="AA174" i="7"/>
  <c r="AI162" i="7"/>
  <c r="AA162" i="7"/>
  <c r="AI150" i="7"/>
  <c r="AA150" i="7"/>
  <c r="AI138" i="7"/>
  <c r="AA138" i="7"/>
  <c r="AI126" i="7"/>
  <c r="AA126" i="7"/>
  <c r="AI114" i="7"/>
  <c r="AA114" i="7"/>
  <c r="AI102" i="7"/>
  <c r="AA102" i="7"/>
  <c r="AI90" i="7"/>
  <c r="AA90" i="7"/>
  <c r="AI78" i="7"/>
  <c r="AA78" i="7"/>
  <c r="J70" i="7"/>
  <c r="AI66" i="7"/>
  <c r="AA66" i="7"/>
  <c r="AI54" i="7"/>
  <c r="AA54" i="7"/>
  <c r="AI42" i="7"/>
  <c r="E32" i="7" s="1"/>
  <c r="E33" i="7" s="1"/>
  <c r="N33" i="7" s="1"/>
  <c r="AA42" i="7"/>
  <c r="M35" i="7"/>
  <c r="M39" i="7" s="1"/>
  <c r="L35" i="7"/>
  <c r="L39" i="7" s="1"/>
  <c r="K35" i="7"/>
  <c r="K39" i="7" s="1"/>
  <c r="J35" i="7"/>
  <c r="J39" i="7" s="1"/>
  <c r="I35" i="7"/>
  <c r="I39" i="7" s="1"/>
  <c r="H35" i="7"/>
  <c r="H39" i="7" s="1"/>
  <c r="G35" i="7"/>
  <c r="G39" i="7" s="1"/>
  <c r="F35" i="7"/>
  <c r="F39" i="7" s="1"/>
  <c r="E35" i="7"/>
  <c r="E39" i="7" s="1"/>
  <c r="M32" i="7"/>
  <c r="L32" i="7"/>
  <c r="K32" i="7"/>
  <c r="J32" i="7"/>
  <c r="I32" i="7"/>
  <c r="H32" i="7"/>
  <c r="G32" i="7"/>
  <c r="F32" i="7"/>
  <c r="D22" i="6"/>
  <c r="E13" i="6"/>
  <c r="E11" i="6"/>
  <c r="F11" i="6" s="1"/>
  <c r="G11" i="6" s="1"/>
  <c r="H11" i="6" s="1"/>
  <c r="I11" i="6" s="1"/>
  <c r="J11" i="6" s="1"/>
  <c r="K11" i="6" s="1"/>
  <c r="L11" i="6" s="1"/>
  <c r="M11" i="6" s="1"/>
  <c r="N11" i="6" s="1"/>
  <c r="E10" i="6"/>
  <c r="F10" i="6" s="1"/>
  <c r="G10" i="6" s="1"/>
  <c r="H10" i="6" s="1"/>
  <c r="I10" i="6" s="1"/>
  <c r="J10" i="6" s="1"/>
  <c r="K10" i="6" s="1"/>
  <c r="L10" i="6" s="1"/>
  <c r="M10" i="6" s="1"/>
  <c r="N10" i="6" s="1"/>
  <c r="AI210" i="5"/>
  <c r="AA210" i="5"/>
  <c r="AI198" i="5"/>
  <c r="AA198" i="5"/>
  <c r="AI186" i="5"/>
  <c r="AA186" i="5"/>
  <c r="AI174" i="5"/>
  <c r="AA174" i="5"/>
  <c r="AI162" i="5"/>
  <c r="AA162" i="5"/>
  <c r="AI150" i="5"/>
  <c r="AA150" i="5"/>
  <c r="AI138" i="5"/>
  <c r="AA138" i="5"/>
  <c r="AI126" i="5"/>
  <c r="AA126" i="5"/>
  <c r="AI114" i="5"/>
  <c r="AA114" i="5"/>
  <c r="AI102" i="5"/>
  <c r="AA102" i="5"/>
  <c r="AI90" i="5"/>
  <c r="AA90" i="5"/>
  <c r="AI78" i="5"/>
  <c r="AA78" i="5"/>
  <c r="J70" i="5"/>
  <c r="AI66" i="5"/>
  <c r="AA66" i="5"/>
  <c r="AI54" i="5"/>
  <c r="AA54" i="5"/>
  <c r="AI42" i="5"/>
  <c r="AA42" i="5"/>
  <c r="S35" i="5"/>
  <c r="R35" i="5"/>
  <c r="R39" i="5" s="1"/>
  <c r="Q35" i="5"/>
  <c r="Q39" i="5" s="1"/>
  <c r="P35" i="5"/>
  <c r="P39" i="5" s="1"/>
  <c r="O35" i="5"/>
  <c r="O39" i="5" s="1"/>
  <c r="N35" i="5"/>
  <c r="N39" i="5" s="1"/>
  <c r="M35" i="5"/>
  <c r="M39" i="5" s="1"/>
  <c r="L35" i="5"/>
  <c r="L39" i="5" s="1"/>
  <c r="K35" i="5"/>
  <c r="K39" i="5" s="1"/>
  <c r="J35" i="5"/>
  <c r="J39" i="5" s="1"/>
  <c r="I35" i="5"/>
  <c r="I39" i="5" s="1"/>
  <c r="H35" i="5"/>
  <c r="H39" i="5" s="1"/>
  <c r="G35" i="5"/>
  <c r="G39" i="5" s="1"/>
  <c r="F35" i="5"/>
  <c r="F39" i="5" s="1"/>
  <c r="E35" i="5"/>
  <c r="E39" i="5" s="1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F7" i="1"/>
  <c r="F11" i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G6" i="1"/>
  <c r="D34" i="1"/>
  <c r="D36" i="1"/>
  <c r="G5" i="1"/>
  <c r="L24" i="1"/>
  <c r="P12" i="1"/>
  <c r="Q12" i="1"/>
  <c r="R12" i="1"/>
  <c r="S12" i="1"/>
  <c r="T12" i="1"/>
  <c r="P14" i="1"/>
  <c r="Q14" i="1"/>
  <c r="R14" i="1"/>
  <c r="S14" i="1"/>
  <c r="T14" i="1"/>
  <c r="L23" i="1"/>
  <c r="O14" i="1"/>
  <c r="N14" i="1"/>
  <c r="M14" i="1"/>
  <c r="L14" i="1"/>
  <c r="K14" i="1"/>
  <c r="J14" i="1"/>
  <c r="I14" i="1"/>
  <c r="H14" i="1"/>
  <c r="G14" i="1"/>
  <c r="F14" i="1"/>
  <c r="O12" i="1"/>
  <c r="N12" i="1"/>
  <c r="M12" i="1"/>
  <c r="L12" i="1"/>
  <c r="K12" i="1"/>
  <c r="J12" i="1"/>
  <c r="I12" i="1"/>
  <c r="H12" i="1"/>
  <c r="G12" i="1"/>
  <c r="F12" i="1"/>
  <c r="F9" i="1"/>
  <c r="G8" i="1"/>
  <c r="G9" i="1"/>
  <c r="H8" i="1"/>
  <c r="I8" i="1"/>
  <c r="J8" i="1"/>
  <c r="K8" i="1"/>
  <c r="L8" i="1"/>
  <c r="M8" i="1"/>
  <c r="N8" i="1"/>
  <c r="O8" i="1"/>
  <c r="P8" i="1"/>
  <c r="Q8" i="1"/>
  <c r="R8" i="1"/>
  <c r="S8" i="1"/>
  <c r="T8" i="1"/>
  <c r="D18" i="6" l="1"/>
  <c r="E30" i="6"/>
  <c r="D40" i="6"/>
  <c r="F33" i="7"/>
  <c r="F34" i="7" s="1"/>
  <c r="G33" i="7"/>
  <c r="G34" i="7" s="1"/>
  <c r="H33" i="7"/>
  <c r="H34" i="7" s="1"/>
  <c r="I33" i="7"/>
  <c r="I34" i="7" s="1"/>
  <c r="L33" i="7"/>
  <c r="L34" i="7" s="1"/>
  <c r="E34" i="7"/>
  <c r="K33" i="7"/>
  <c r="K34" i="7" s="1"/>
  <c r="J33" i="7"/>
  <c r="J34" i="7" s="1"/>
  <c r="M33" i="7"/>
  <c r="M34" i="7" s="1"/>
  <c r="E9" i="6"/>
  <c r="E12" i="6" s="1"/>
  <c r="F8" i="6"/>
  <c r="S37" i="5"/>
  <c r="S41" i="5" s="1"/>
  <c r="S39" i="5"/>
  <c r="E33" i="5"/>
  <c r="E34" i="5" s="1"/>
  <c r="E34" i="1"/>
  <c r="L25" i="1"/>
  <c r="H5" i="1"/>
  <c r="H6" i="1"/>
  <c r="S11" i="1"/>
  <c r="T11" i="1" s="1"/>
  <c r="G7" i="1"/>
  <c r="I6" i="1"/>
  <c r="F10" i="1"/>
  <c r="F13" i="1" s="1"/>
  <c r="E40" i="6" l="1"/>
  <c r="E42" i="6" s="1"/>
  <c r="E44" i="6" s="1"/>
  <c r="G62" i="7"/>
  <c r="F37" i="7"/>
  <c r="F41" i="7" s="1"/>
  <c r="G37" i="7"/>
  <c r="G41" i="7" s="1"/>
  <c r="H62" i="7"/>
  <c r="H37" i="7"/>
  <c r="H41" i="7" s="1"/>
  <c r="I62" i="7"/>
  <c r="J62" i="7"/>
  <c r="I37" i="7"/>
  <c r="I41" i="7" s="1"/>
  <c r="H66" i="7"/>
  <c r="L37" i="7"/>
  <c r="L41" i="7" s="1"/>
  <c r="P41" i="7"/>
  <c r="G70" i="7"/>
  <c r="H70" i="7"/>
  <c r="Q41" i="7"/>
  <c r="E37" i="7"/>
  <c r="E41" i="7" s="1"/>
  <c r="F62" i="7"/>
  <c r="K37" i="7"/>
  <c r="K41" i="7" s="1"/>
  <c r="G66" i="7"/>
  <c r="J66" i="7"/>
  <c r="N41" i="7"/>
  <c r="R41" i="7"/>
  <c r="I70" i="7"/>
  <c r="F66" i="7"/>
  <c r="J37" i="7"/>
  <c r="J41" i="7" s="1"/>
  <c r="I66" i="7"/>
  <c r="M37" i="7"/>
  <c r="M41" i="7" s="1"/>
  <c r="F70" i="7"/>
  <c r="O41" i="7"/>
  <c r="S41" i="7"/>
  <c r="E14" i="6"/>
  <c r="E16" i="6"/>
  <c r="E18" i="6" s="1"/>
  <c r="F9" i="6"/>
  <c r="F12" i="6" s="1"/>
  <c r="G8" i="6"/>
  <c r="E37" i="5"/>
  <c r="E41" i="5" s="1"/>
  <c r="F62" i="5"/>
  <c r="G33" i="5"/>
  <c r="G34" i="5" s="1"/>
  <c r="I33" i="5"/>
  <c r="I34" i="5" s="1"/>
  <c r="K33" i="5"/>
  <c r="K34" i="5" s="1"/>
  <c r="M33" i="5"/>
  <c r="M34" i="5" s="1"/>
  <c r="O33" i="5"/>
  <c r="O34" i="5" s="1"/>
  <c r="Q33" i="5"/>
  <c r="Q34" i="5" s="1"/>
  <c r="S33" i="5"/>
  <c r="F33" i="5"/>
  <c r="F34" i="5" s="1"/>
  <c r="H33" i="5"/>
  <c r="H34" i="5" s="1"/>
  <c r="J33" i="5"/>
  <c r="J34" i="5" s="1"/>
  <c r="L33" i="5"/>
  <c r="L34" i="5" s="1"/>
  <c r="N33" i="5"/>
  <c r="N34" i="5" s="1"/>
  <c r="P33" i="5"/>
  <c r="P34" i="5" s="1"/>
  <c r="R33" i="5"/>
  <c r="R34" i="5" s="1"/>
  <c r="F34" i="1"/>
  <c r="F36" i="1" s="1"/>
  <c r="E36" i="1"/>
  <c r="D23" i="1" s="1"/>
  <c r="I5" i="1"/>
  <c r="H9" i="1"/>
  <c r="H7" i="1"/>
  <c r="H10" i="1" s="1"/>
  <c r="G10" i="1"/>
  <c r="G13" i="1" s="1"/>
  <c r="G15" i="1" s="1"/>
  <c r="I7" i="1"/>
  <c r="J6" i="1"/>
  <c r="F15" i="1"/>
  <c r="F17" i="1"/>
  <c r="F19" i="1" s="1"/>
  <c r="F14" i="6" l="1"/>
  <c r="F16" i="6"/>
  <c r="F18" i="6" s="1"/>
  <c r="G9" i="6"/>
  <c r="G12" i="6" s="1"/>
  <c r="H8" i="6"/>
  <c r="H62" i="5"/>
  <c r="G37" i="5"/>
  <c r="G41" i="5" s="1"/>
  <c r="J62" i="5"/>
  <c r="I37" i="5"/>
  <c r="I41" i="5" s="1"/>
  <c r="K37" i="5"/>
  <c r="K41" i="5" s="1"/>
  <c r="G66" i="5"/>
  <c r="I66" i="5"/>
  <c r="M37" i="5"/>
  <c r="M41" i="5" s="1"/>
  <c r="O37" i="5"/>
  <c r="O41" i="5" s="1"/>
  <c r="F70" i="5"/>
  <c r="Q37" i="5"/>
  <c r="Q41" i="5" s="1"/>
  <c r="H70" i="5"/>
  <c r="F37" i="5"/>
  <c r="F41" i="5" s="1"/>
  <c r="G62" i="5"/>
  <c r="H37" i="5"/>
  <c r="H41" i="5" s="1"/>
  <c r="I62" i="5"/>
  <c r="F66" i="5"/>
  <c r="J37" i="5"/>
  <c r="J41" i="5" s="1"/>
  <c r="L37" i="5"/>
  <c r="L41" i="5" s="1"/>
  <c r="H66" i="5"/>
  <c r="N37" i="5"/>
  <c r="N41" i="5" s="1"/>
  <c r="J66" i="5"/>
  <c r="G70" i="5"/>
  <c r="P37" i="5"/>
  <c r="P41" i="5" s="1"/>
  <c r="I70" i="5"/>
  <c r="R37" i="5"/>
  <c r="R41" i="5" s="1"/>
  <c r="D24" i="1"/>
  <c r="E19" i="1" s="1"/>
  <c r="D38" i="1"/>
  <c r="H13" i="1"/>
  <c r="G17" i="1"/>
  <c r="G19" i="1" s="1"/>
  <c r="I9" i="1"/>
  <c r="I10" i="1" s="1"/>
  <c r="I13" i="1" s="1"/>
  <c r="J5" i="1"/>
  <c r="J7" i="1"/>
  <c r="K6" i="1"/>
  <c r="G14" i="6" l="1"/>
  <c r="G16" i="6"/>
  <c r="G18" i="6" s="1"/>
  <c r="I8" i="6"/>
  <c r="H9" i="6"/>
  <c r="H12" i="6" s="1"/>
  <c r="H17" i="1"/>
  <c r="H19" i="1" s="1"/>
  <c r="H15" i="1"/>
  <c r="I17" i="1"/>
  <c r="I19" i="1" s="1"/>
  <c r="I15" i="1"/>
  <c r="G39" i="1"/>
  <c r="G38" i="1"/>
  <c r="D25" i="1"/>
  <c r="J9" i="1"/>
  <c r="J10" i="1" s="1"/>
  <c r="J13" i="1" s="1"/>
  <c r="K5" i="1"/>
  <c r="K7" i="1"/>
  <c r="L6" i="1"/>
  <c r="I9" i="6" l="1"/>
  <c r="I12" i="6" s="1"/>
  <c r="J8" i="6"/>
  <c r="H14" i="6"/>
  <c r="H16" i="6"/>
  <c r="H18" i="6" s="1"/>
  <c r="J15" i="1"/>
  <c r="J17" i="1"/>
  <c r="J19" i="1" s="1"/>
  <c r="K9" i="1"/>
  <c r="K10" i="1" s="1"/>
  <c r="K13" i="1" s="1"/>
  <c r="L5" i="1"/>
  <c r="M6" i="1"/>
  <c r="I14" i="6" l="1"/>
  <c r="I16" i="6"/>
  <c r="I18" i="6" s="1"/>
  <c r="K8" i="6"/>
  <c r="J9" i="6"/>
  <c r="J12" i="6" s="1"/>
  <c r="K15" i="1"/>
  <c r="K17" i="1"/>
  <c r="K19" i="1" s="1"/>
  <c r="L9" i="1"/>
  <c r="M5" i="1"/>
  <c r="L7" i="1"/>
  <c r="L10" i="1" s="1"/>
  <c r="L13" i="1" s="1"/>
  <c r="N6" i="1"/>
  <c r="L8" i="6" l="1"/>
  <c r="K9" i="6"/>
  <c r="K12" i="6" s="1"/>
  <c r="J14" i="6"/>
  <c r="J16" i="6"/>
  <c r="J18" i="6" s="1"/>
  <c r="M9" i="1"/>
  <c r="N5" i="1"/>
  <c r="M7" i="1"/>
  <c r="M10" i="1" s="1"/>
  <c r="M13" i="1" s="1"/>
  <c r="L15" i="1"/>
  <c r="L17" i="1"/>
  <c r="L19" i="1" s="1"/>
  <c r="O6" i="1"/>
  <c r="M8" i="6" l="1"/>
  <c r="L9" i="6"/>
  <c r="L12" i="6" s="1"/>
  <c r="K14" i="6"/>
  <c r="K16" i="6"/>
  <c r="K18" i="6" s="1"/>
  <c r="N9" i="1"/>
  <c r="O5" i="1"/>
  <c r="M15" i="1"/>
  <c r="N7" i="1"/>
  <c r="M17" i="1"/>
  <c r="M19" i="1" s="1"/>
  <c r="P6" i="1"/>
  <c r="M9" i="6" l="1"/>
  <c r="M12" i="6" s="1"/>
  <c r="N8" i="6"/>
  <c r="N9" i="6" s="1"/>
  <c r="N12" i="6" s="1"/>
  <c r="L14" i="6"/>
  <c r="L16" i="6"/>
  <c r="L18" i="6" s="1"/>
  <c r="N10" i="1"/>
  <c r="N13" i="1" s="1"/>
  <c r="N17" i="1" s="1"/>
  <c r="N19" i="1" s="1"/>
  <c r="O9" i="1"/>
  <c r="P5" i="1"/>
  <c r="O7" i="1"/>
  <c r="O10" i="1" s="1"/>
  <c r="O13" i="1" s="1"/>
  <c r="Q6" i="1"/>
  <c r="M14" i="6" l="1"/>
  <c r="M16" i="6"/>
  <c r="M18" i="6" s="1"/>
  <c r="N14" i="6"/>
  <c r="N16" i="6"/>
  <c r="N18" i="6" s="1"/>
  <c r="D19" i="6" s="1"/>
  <c r="N15" i="1"/>
  <c r="P9" i="1"/>
  <c r="Q5" i="1"/>
  <c r="O17" i="1"/>
  <c r="O19" i="1" s="1"/>
  <c r="O15" i="1"/>
  <c r="P7" i="1"/>
  <c r="P10" i="1" s="1"/>
  <c r="P13" i="1" s="1"/>
  <c r="R6" i="1"/>
  <c r="Q9" i="1" l="1"/>
  <c r="R5" i="1"/>
  <c r="P15" i="1"/>
  <c r="P17" i="1"/>
  <c r="P19" i="1" s="1"/>
  <c r="Q7" i="1"/>
  <c r="Q10" i="1" s="1"/>
  <c r="Q13" i="1" s="1"/>
  <c r="S6" i="1"/>
  <c r="Q15" i="1" l="1"/>
  <c r="Q17" i="1"/>
  <c r="Q19" i="1" s="1"/>
  <c r="R9" i="1"/>
  <c r="S5" i="1"/>
  <c r="R7" i="1"/>
  <c r="R10" i="1" s="1"/>
  <c r="R13" i="1" s="1"/>
  <c r="S7" i="1"/>
  <c r="T6" i="1"/>
  <c r="R17" i="1" l="1"/>
  <c r="R19" i="1" s="1"/>
  <c r="R15" i="1"/>
  <c r="S9" i="1"/>
  <c r="S10" i="1" s="1"/>
  <c r="S13" i="1" s="1"/>
  <c r="T5" i="1"/>
  <c r="S17" i="1" l="1"/>
  <c r="S19" i="1" s="1"/>
  <c r="S15" i="1"/>
  <c r="T7" i="1"/>
  <c r="T9" i="1"/>
  <c r="T10" i="1" l="1"/>
  <c r="T13" i="1" s="1"/>
  <c r="T15" i="1" l="1"/>
  <c r="T17" i="1"/>
  <c r="T19" i="1" s="1"/>
  <c r="E20" i="1" s="1"/>
</calcChain>
</file>

<file path=xl/sharedStrings.xml><?xml version="1.0" encoding="utf-8"?>
<sst xmlns="http://schemas.openxmlformats.org/spreadsheetml/2006/main" count="119" uniqueCount="55">
  <si>
    <t>změna</t>
  </si>
  <si>
    <t>rok</t>
  </si>
  <si>
    <t>celková výroba</t>
  </si>
  <si>
    <t>cena zákazník</t>
  </si>
  <si>
    <t>prodej zákazník</t>
  </si>
  <si>
    <t>cena sdílení</t>
  </si>
  <si>
    <t>prodej sdílení</t>
  </si>
  <si>
    <t>celkem</t>
  </si>
  <si>
    <t>servis</t>
  </si>
  <si>
    <t>zdroje</t>
  </si>
  <si>
    <t>splátky</t>
  </si>
  <si>
    <t>DSCR</t>
  </si>
  <si>
    <t>Zisk po splátkách</t>
  </si>
  <si>
    <t>CF vlastního kapitálu</t>
  </si>
  <si>
    <t>IRR vlastních zdrojů</t>
  </si>
  <si>
    <t>náklady</t>
  </si>
  <si>
    <t>vlastní zdroje</t>
  </si>
  <si>
    <t>úvěr</t>
  </si>
  <si>
    <t>žluté buňky jsou editovatelné</t>
  </si>
  <si>
    <t>samospotřeba</t>
  </si>
  <si>
    <t>MWh</t>
  </si>
  <si>
    <t>samospotřeba nominálně</t>
  </si>
  <si>
    <t>celková spotřeba</t>
  </si>
  <si>
    <t>nákladová cena</t>
  </si>
  <si>
    <t>bateriové služby</t>
  </si>
  <si>
    <t>fve</t>
  </si>
  <si>
    <t>bess</t>
  </si>
  <si>
    <t>celkem nákup</t>
  </si>
  <si>
    <t>zisk</t>
  </si>
  <si>
    <t>provize</t>
  </si>
  <si>
    <t>cena s provizí</t>
  </si>
  <si>
    <t>100/200</t>
  </si>
  <si>
    <t>Splátkový kalendář</t>
  </si>
  <si>
    <t>Poř.</t>
  </si>
  <si>
    <t>Splátka</t>
  </si>
  <si>
    <t>Úrok (CZK)</t>
  </si>
  <si>
    <t>Úmor (CZK)</t>
  </si>
  <si>
    <t>Úvěr (CZK)</t>
  </si>
  <si>
    <t>zůstatek úvěru</t>
  </si>
  <si>
    <t>Rozdíl</t>
  </si>
  <si>
    <t>Odkupní cena FVE + BESS</t>
  </si>
  <si>
    <t>Rok</t>
  </si>
  <si>
    <t>Splátkový kalendář reálný úvěr = 80% CAPEX</t>
  </si>
  <si>
    <t>zůstatek úvěru 100% CAPEX</t>
  </si>
  <si>
    <t>poplatek</t>
  </si>
  <si>
    <t>Odkupová cena FVE</t>
  </si>
  <si>
    <t>poplatek za předčasné splacení</t>
  </si>
  <si>
    <t>zisk SPV při ukončení</t>
  </si>
  <si>
    <t>prodejní cena technologie do SPV</t>
  </si>
  <si>
    <t>pronájem ročně</t>
  </si>
  <si>
    <t>servis ročně</t>
  </si>
  <si>
    <t>marže</t>
  </si>
  <si>
    <t>zisk po provizi</t>
  </si>
  <si>
    <t>EMS</t>
  </si>
  <si>
    <t>EMS měsíčně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</si>
</sst>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Kč&quot;;[Red]\-#,##0\ &quot;Kč&quot;"/>
    <numFmt numFmtId="164" formatCode="#,##0&quot; Kč&quot;"/>
    <numFmt numFmtId="165" formatCode="0.0%"/>
    <numFmt numFmtId="166" formatCode="#,##0\ &quot;Kč&quot;"/>
  </numFmts>
  <fonts count="16" x14ac:knownFonts="1">
    <font>
      <sz val="11"/>
      <color theme="1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i/>
      <sz val="11"/>
      <name val="Cambria"/>
      <family val="1"/>
      <charset val="238"/>
    </font>
    <font>
      <b/>
      <sz val="11"/>
      <name val="Cambria"/>
      <family val="1"/>
      <charset val="238"/>
    </font>
    <font>
      <b/>
      <sz val="11"/>
      <color rgb="FF0000FF"/>
      <name val="Cambria"/>
      <family val="1"/>
      <charset val="238"/>
    </font>
    <font>
      <sz val="10"/>
      <color theme="1"/>
      <name val="Calibri"/>
      <family val="2"/>
      <charset val="238"/>
    </font>
    <font>
      <sz val="20"/>
      <color theme="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</font>
    <font>
      <sz val="11"/>
      <color rgb="FFFF0000"/>
      <name val="Calibri"/>
      <family val="2"/>
      <charset val="238"/>
    </font>
    <font>
      <sz val="11"/>
      <color rgb="FF2B3135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theme="7" tint="0.79989013336588644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FFFFFF"/>
      </patternFill>
    </fill>
  </fills>
  <borders count="2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75868E"/>
      </left>
      <right/>
      <top style="medium">
        <color rgb="FF75868E"/>
      </top>
      <bottom/>
      <diagonal/>
    </border>
    <border>
      <left/>
      <right/>
      <top style="medium">
        <color rgb="FF75868E"/>
      </top>
      <bottom/>
      <diagonal/>
    </border>
    <border>
      <left/>
      <right style="medium">
        <color rgb="FF75868E"/>
      </right>
      <top style="medium">
        <color rgb="FF75868E"/>
      </top>
      <bottom/>
      <diagonal/>
    </border>
    <border>
      <left style="medium">
        <color rgb="FF75868E"/>
      </left>
      <right/>
      <top/>
      <bottom/>
      <diagonal/>
    </border>
    <border>
      <left/>
      <right style="medium">
        <color rgb="FF75868E"/>
      </right>
      <top/>
      <bottom/>
      <diagonal/>
    </border>
    <border>
      <left style="medium">
        <color rgb="FF75868E"/>
      </left>
      <right/>
      <top/>
      <bottom style="medium">
        <color rgb="FF75868E"/>
      </bottom>
      <diagonal/>
    </border>
    <border>
      <left/>
      <right/>
      <top/>
      <bottom style="medium">
        <color rgb="FF75868E"/>
      </bottom>
      <diagonal/>
    </border>
    <border>
      <left/>
      <right style="medium">
        <color rgb="FF75868E"/>
      </right>
      <top/>
      <bottom style="medium">
        <color rgb="FF75868E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3" fillId="0" borderId="0"/>
    <xf numFmtId="0" fontId="12" fillId="0" borderId="0"/>
    <xf numFmtId="0" fontId="2" fillId="0" borderId="0"/>
    <xf numFmtId="0" fontId="1" fillId="0" borderId="0"/>
    <xf numFmtId="0" fontId="1" fillId="0" borderId="0"/>
  </cellStyleXfs>
  <cellXfs count="138">
    <xf numFmtId="0" fontId="0" fillId="0" borderId="0" xfId="0"/>
    <xf numFmtId="9" fontId="0" fillId="2" borderId="1" xfId="0" applyNumberFormat="1" applyFill="1" applyBorder="1"/>
    <xf numFmtId="0" fontId="0" fillId="0" borderId="2" xfId="0" applyBorder="1"/>
    <xf numFmtId="0" fontId="0" fillId="0" borderId="3" xfId="0" applyBorder="1"/>
    <xf numFmtId="164" fontId="4" fillId="2" borderId="0" xfId="0" applyNumberFormat="1" applyFont="1" applyFill="1"/>
    <xf numFmtId="164" fontId="0" fillId="0" borderId="0" xfId="0" applyNumberFormat="1"/>
    <xf numFmtId="9" fontId="4" fillId="2" borderId="0" xfId="0" applyNumberFormat="1" applyFont="1" applyFill="1"/>
    <xf numFmtId="0" fontId="4" fillId="0" borderId="4" xfId="0" applyFont="1" applyBorder="1"/>
    <xf numFmtId="0" fontId="4" fillId="0" borderId="5" xfId="0" applyFont="1" applyBorder="1"/>
    <xf numFmtId="164" fontId="4" fillId="0" borderId="6" xfId="0" applyNumberFormat="1" applyFont="1" applyBorder="1"/>
    <xf numFmtId="9" fontId="0" fillId="0" borderId="0" xfId="0" applyNumberFormat="1"/>
    <xf numFmtId="166" fontId="0" fillId="0" borderId="0" xfId="0" applyNumberFormat="1"/>
    <xf numFmtId="9" fontId="4" fillId="3" borderId="0" xfId="0" applyNumberFormat="1" applyFont="1" applyFill="1"/>
    <xf numFmtId="0" fontId="0" fillId="4" borderId="0" xfId="0" applyFill="1"/>
    <xf numFmtId="0" fontId="0" fillId="0" borderId="7" xfId="0" applyBorder="1"/>
    <xf numFmtId="0" fontId="5" fillId="0" borderId="11" xfId="0" applyFont="1" applyBorder="1"/>
    <xf numFmtId="6" fontId="0" fillId="0" borderId="12" xfId="0" applyNumberFormat="1" applyBorder="1"/>
    <xf numFmtId="166" fontId="0" fillId="0" borderId="12" xfId="0" applyNumberFormat="1" applyBorder="1"/>
    <xf numFmtId="166" fontId="0" fillId="0" borderId="13" xfId="0" applyNumberFormat="1" applyBorder="1"/>
    <xf numFmtId="0" fontId="6" fillId="0" borderId="8" xfId="0" applyFont="1" applyBorder="1"/>
    <xf numFmtId="165" fontId="7" fillId="0" borderId="7" xfId="0" applyNumberFormat="1" applyFont="1" applyBorder="1"/>
    <xf numFmtId="0" fontId="0" fillId="0" borderId="14" xfId="0" applyBorder="1"/>
    <xf numFmtId="0" fontId="4" fillId="0" borderId="9" xfId="0" applyFont="1" applyBorder="1"/>
    <xf numFmtId="0" fontId="4" fillId="0" borderId="15" xfId="0" applyFont="1" applyBorder="1"/>
    <xf numFmtId="164" fontId="4" fillId="0" borderId="15" xfId="0" applyNumberFormat="1" applyFont="1" applyBorder="1"/>
    <xf numFmtId="164" fontId="4" fillId="0" borderId="10" xfId="0" applyNumberFormat="1" applyFont="1" applyBorder="1"/>
    <xf numFmtId="0" fontId="0" fillId="2" borderId="2" xfId="0" applyFill="1" applyBorder="1"/>
    <xf numFmtId="164" fontId="4" fillId="2" borderId="2" xfId="0" applyNumberFormat="1" applyFont="1" applyFill="1" applyBorder="1"/>
    <xf numFmtId="164" fontId="0" fillId="0" borderId="2" xfId="0" applyNumberFormat="1" applyBorder="1"/>
    <xf numFmtId="164" fontId="0" fillId="0" borderId="16" xfId="0" applyNumberFormat="1" applyBorder="1"/>
    <xf numFmtId="164" fontId="4" fillId="0" borderId="5" xfId="0" applyNumberFormat="1" applyFont="1" applyBorder="1"/>
    <xf numFmtId="0" fontId="0" fillId="5" borderId="5" xfId="0" applyFill="1" applyBorder="1"/>
    <xf numFmtId="10" fontId="4" fillId="5" borderId="5" xfId="0" applyNumberFormat="1" applyFont="1" applyFill="1" applyBorder="1"/>
    <xf numFmtId="10" fontId="4" fillId="5" borderId="6" xfId="0" applyNumberFormat="1" applyFont="1" applyFill="1" applyBorder="1"/>
    <xf numFmtId="0" fontId="4" fillId="5" borderId="4" xfId="0" applyFont="1" applyFill="1" applyBorder="1"/>
    <xf numFmtId="0" fontId="0" fillId="0" borderId="0" xfId="0" applyAlignment="1">
      <alignment horizontal="left"/>
    </xf>
    <xf numFmtId="0" fontId="0" fillId="6" borderId="2" xfId="0" applyFill="1" applyBorder="1"/>
    <xf numFmtId="0" fontId="0" fillId="0" borderId="0" xfId="0" applyAlignment="1">
      <alignment vertical="center" wrapText="1"/>
    </xf>
    <xf numFmtId="0" fontId="12" fillId="0" borderId="0" xfId="2"/>
    <xf numFmtId="0" fontId="12" fillId="0" borderId="0" xfId="2" applyAlignment="1">
      <alignment horizontal="center"/>
    </xf>
    <xf numFmtId="166" fontId="12" fillId="0" borderId="0" xfId="2" applyNumberFormat="1"/>
    <xf numFmtId="9" fontId="0" fillId="8" borderId="0" xfId="0" applyNumberFormat="1" applyFill="1"/>
    <xf numFmtId="0" fontId="0" fillId="8" borderId="0" xfId="0" applyFill="1"/>
    <xf numFmtId="164" fontId="13" fillId="8" borderId="0" xfId="0" applyNumberFormat="1" applyFont="1" applyFill="1"/>
    <xf numFmtId="9" fontId="0" fillId="9" borderId="0" xfId="0" applyNumberFormat="1" applyFill="1"/>
    <xf numFmtId="0" fontId="0" fillId="9" borderId="0" xfId="0" applyFill="1"/>
    <xf numFmtId="164" fontId="0" fillId="9" borderId="0" xfId="0" applyNumberFormat="1" applyFill="1"/>
    <xf numFmtId="0" fontId="4" fillId="0" borderId="0" xfId="0" applyFont="1"/>
    <xf numFmtId="0" fontId="4" fillId="0" borderId="3" xfId="0" applyFont="1" applyBorder="1"/>
    <xf numFmtId="164" fontId="4" fillId="0" borderId="3" xfId="0" applyNumberFormat="1" applyFont="1" applyBorder="1"/>
    <xf numFmtId="164" fontId="14" fillId="0" borderId="17" xfId="0" applyNumberFormat="1" applyFont="1" applyBorder="1"/>
    <xf numFmtId="0" fontId="0" fillId="0" borderId="0" xfId="0" applyAlignment="1">
      <alignment horizontal="right"/>
    </xf>
    <xf numFmtId="166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/>
    <xf numFmtId="0" fontId="0" fillId="0" borderId="0" xfId="0" applyAlignment="1">
      <alignment horizontal="center"/>
    </xf>
    <xf numFmtId="0" fontId="12" fillId="0" borderId="0" xfId="2" applyAlignment="1">
      <alignment vertical="center"/>
    </xf>
    <xf numFmtId="0" fontId="11" fillId="0" borderId="0" xfId="2" applyFont="1"/>
    <xf numFmtId="166" fontId="12" fillId="0" borderId="0" xfId="2" applyNumberFormat="1" applyAlignment="1">
      <alignment horizontal="center"/>
    </xf>
    <xf numFmtId="9" fontId="12" fillId="0" borderId="0" xfId="2" applyNumberFormat="1"/>
    <xf numFmtId="0" fontId="10" fillId="0" borderId="0" xfId="2" applyFont="1" applyAlignment="1">
      <alignment wrapText="1"/>
    </xf>
    <xf numFmtId="3" fontId="3" fillId="0" borderId="0" xfId="2" applyNumberFormat="1" applyFont="1"/>
    <xf numFmtId="0" fontId="3" fillId="0" borderId="0" xfId="2" applyFont="1"/>
    <xf numFmtId="0" fontId="15" fillId="10" borderId="18" xfId="0" applyFont="1" applyFill="1" applyBorder="1" applyAlignment="1">
      <alignment horizontal="right" vertical="center" wrapText="1"/>
    </xf>
    <xf numFmtId="0" fontId="15" fillId="10" borderId="19" xfId="0" applyFont="1" applyFill="1" applyBorder="1" applyAlignment="1">
      <alignment horizontal="right" vertical="center" wrapText="1"/>
    </xf>
    <xf numFmtId="0" fontId="15" fillId="10" borderId="20" xfId="0" applyFont="1" applyFill="1" applyBorder="1" applyAlignment="1">
      <alignment horizontal="right" vertical="center" wrapText="1"/>
    </xf>
    <xf numFmtId="0" fontId="15" fillId="10" borderId="21" xfId="0" applyFont="1" applyFill="1" applyBorder="1" applyAlignment="1">
      <alignment horizontal="right" vertical="center" wrapText="1"/>
    </xf>
    <xf numFmtId="4" fontId="15" fillId="10" borderId="0" xfId="0" applyNumberFormat="1" applyFont="1" applyFill="1" applyAlignment="1">
      <alignment horizontal="right" vertical="center" wrapText="1"/>
    </xf>
    <xf numFmtId="4" fontId="15" fillId="10" borderId="22" xfId="0" applyNumberFormat="1" applyFont="1" applyFill="1" applyBorder="1" applyAlignment="1">
      <alignment horizontal="right" vertical="center" wrapText="1"/>
    </xf>
    <xf numFmtId="0" fontId="15" fillId="10" borderId="23" xfId="0" applyFont="1" applyFill="1" applyBorder="1" applyAlignment="1">
      <alignment horizontal="right" vertical="center" wrapText="1"/>
    </xf>
    <xf numFmtId="4" fontId="15" fillId="10" borderId="24" xfId="0" applyNumberFormat="1" applyFont="1" applyFill="1" applyBorder="1" applyAlignment="1">
      <alignment horizontal="right" vertical="center" wrapText="1"/>
    </xf>
    <xf numFmtId="0" fontId="15" fillId="10" borderId="25" xfId="0" applyFont="1" applyFill="1" applyBorder="1" applyAlignment="1">
      <alignment horizontal="right" vertical="center" wrapText="1"/>
    </xf>
    <xf numFmtId="0" fontId="15" fillId="10" borderId="0" xfId="0" applyFont="1" applyFill="1" applyAlignment="1">
      <alignment horizontal="right" vertical="center" wrapText="1"/>
    </xf>
    <xf numFmtId="4" fontId="15" fillId="10" borderId="19" xfId="0" applyNumberFormat="1" applyFont="1" applyFill="1" applyBorder="1" applyAlignment="1">
      <alignment horizontal="right" vertical="center" wrapText="1"/>
    </xf>
    <xf numFmtId="4" fontId="15" fillId="10" borderId="20" xfId="0" applyNumberFormat="1" applyFont="1" applyFill="1" applyBorder="1" applyAlignment="1">
      <alignment horizontal="right" vertical="center" wrapText="1"/>
    </xf>
    <xf numFmtId="0" fontId="15" fillId="10" borderId="24" xfId="0" applyFont="1" applyFill="1" applyBorder="1" applyAlignment="1">
      <alignment horizontal="right" vertical="center" wrapText="1"/>
    </xf>
    <xf numFmtId="0" fontId="1" fillId="0" borderId="0" xfId="4"/>
    <xf numFmtId="6" fontId="1" fillId="0" borderId="0" xfId="4" applyNumberFormat="1"/>
    <xf numFmtId="0" fontId="1" fillId="7" borderId="2" xfId="4" applyFill="1" applyBorder="1"/>
    <xf numFmtId="0" fontId="1" fillId="7" borderId="9" xfId="4" applyFill="1" applyBorder="1"/>
    <xf numFmtId="9" fontId="1" fillId="0" borderId="0" xfId="4" applyNumberFormat="1"/>
    <xf numFmtId="10" fontId="1" fillId="0" borderId="0" xfId="4" applyNumberFormat="1"/>
    <xf numFmtId="0" fontId="1" fillId="11" borderId="2" xfId="4" applyFill="1" applyBorder="1" applyAlignment="1">
      <alignment horizontal="right" vertical="center"/>
    </xf>
    <xf numFmtId="0" fontId="1" fillId="0" borderId="0" xfId="4" applyAlignment="1">
      <alignment vertical="center"/>
    </xf>
    <xf numFmtId="166" fontId="1" fillId="0" borderId="2" xfId="4" applyNumberFormat="1" applyBorder="1"/>
    <xf numFmtId="10" fontId="1" fillId="4" borderId="0" xfId="4" applyNumberFormat="1" applyFill="1"/>
    <xf numFmtId="0" fontId="1" fillId="11" borderId="2" xfId="4" applyFill="1" applyBorder="1" applyAlignment="1">
      <alignment horizontal="right"/>
    </xf>
    <xf numFmtId="166" fontId="1" fillId="4" borderId="2" xfId="4" applyNumberFormat="1" applyFill="1" applyBorder="1"/>
    <xf numFmtId="166" fontId="1" fillId="0" borderId="0" xfId="4" applyNumberFormat="1"/>
    <xf numFmtId="0" fontId="10" fillId="11" borderId="2" xfId="4" applyFont="1" applyFill="1" applyBorder="1" applyAlignment="1">
      <alignment horizontal="right"/>
    </xf>
    <xf numFmtId="0" fontId="10" fillId="11" borderId="0" xfId="4" applyFont="1" applyFill="1"/>
    <xf numFmtId="166" fontId="10" fillId="11" borderId="2" xfId="4" applyNumberFormat="1" applyFont="1" applyFill="1" applyBorder="1"/>
    <xf numFmtId="0" fontId="1" fillId="12" borderId="2" xfId="4" applyFill="1" applyBorder="1"/>
    <xf numFmtId="0" fontId="1" fillId="12" borderId="0" xfId="4" applyFill="1"/>
    <xf numFmtId="166" fontId="1" fillId="12" borderId="16" xfId="4" applyNumberFormat="1" applyFill="1" applyBorder="1"/>
    <xf numFmtId="0" fontId="1" fillId="0" borderId="0" xfId="4" applyAlignment="1">
      <alignment horizontal="right"/>
    </xf>
    <xf numFmtId="166" fontId="10" fillId="0" borderId="0" xfId="4" applyNumberFormat="1" applyFont="1"/>
    <xf numFmtId="0" fontId="1" fillId="0" borderId="2" xfId="4" applyBorder="1"/>
    <xf numFmtId="0" fontId="1" fillId="4" borderId="0" xfId="4" applyFill="1"/>
    <xf numFmtId="166" fontId="1" fillId="4" borderId="0" xfId="4" applyNumberFormat="1" applyFill="1"/>
    <xf numFmtId="4" fontId="1" fillId="0" borderId="0" xfId="4" applyNumberFormat="1"/>
    <xf numFmtId="0" fontId="0" fillId="13" borderId="2" xfId="0" applyFill="1" applyBorder="1"/>
    <xf numFmtId="10" fontId="4" fillId="3" borderId="0" xfId="0" applyNumberFormat="1" applyFont="1" applyFill="1"/>
    <xf numFmtId="164" fontId="0" fillId="0" borderId="17" xfId="0" applyNumberFormat="1" applyBorder="1"/>
    <xf numFmtId="6" fontId="0" fillId="0" borderId="0" xfId="0" applyNumberFormat="1"/>
    <xf numFmtId="0" fontId="0" fillId="0" borderId="15" xfId="0" applyBorder="1"/>
    <xf numFmtId="10" fontId="4" fillId="5" borderId="26" xfId="0" applyNumberFormat="1" applyFont="1" applyFill="1" applyBorder="1"/>
    <xf numFmtId="0" fontId="0" fillId="0" borderId="1" xfId="0" applyBorder="1"/>
    <xf numFmtId="0" fontId="0" fillId="0" borderId="27" xfId="0" applyBorder="1"/>
    <xf numFmtId="166" fontId="0" fillId="4" borderId="0" xfId="0" applyNumberFormat="1" applyFill="1"/>
    <xf numFmtId="9" fontId="4" fillId="12" borderId="2" xfId="0" applyNumberFormat="1" applyFont="1" applyFill="1" applyBorder="1"/>
    <xf numFmtId="0" fontId="4" fillId="12" borderId="2" xfId="0" applyFont="1" applyFill="1" applyBorder="1"/>
    <xf numFmtId="164" fontId="4" fillId="12" borderId="2" xfId="0" applyNumberFormat="1" applyFont="1" applyFill="1" applyBorder="1"/>
    <xf numFmtId="9" fontId="0" fillId="0" borderId="2" xfId="0" applyNumberFormat="1" applyBorder="1"/>
    <xf numFmtId="164" fontId="0" fillId="0" borderId="0" xfId="0" applyNumberFormat="1" applyAlignment="1">
      <alignment vertical="center" wrapText="1"/>
    </xf>
    <xf numFmtId="0" fontId="0" fillId="9" borderId="9" xfId="0" applyFill="1" applyBorder="1" applyAlignment="1">
      <alignment horizontal="right"/>
    </xf>
    <xf numFmtId="166" fontId="0" fillId="9" borderId="10" xfId="0" applyNumberFormat="1" applyFill="1" applyBorder="1"/>
    <xf numFmtId="164" fontId="13" fillId="0" borderId="0" xfId="0" applyNumberFormat="1" applyFont="1"/>
    <xf numFmtId="0" fontId="9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2" fontId="0" fillId="0" borderId="9" xfId="0" applyNumberFormat="1" applyBorder="1" applyAlignment="1">
      <alignment horizontal="right"/>
    </xf>
    <xf numFmtId="2" fontId="0" fillId="0" borderId="10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9" xfId="0" applyNumberFormat="1" applyBorder="1" applyAlignment="1">
      <alignment horizontal="right"/>
    </xf>
    <xf numFmtId="10" fontId="0" fillId="0" borderId="10" xfId="0" applyNumberFormat="1" applyBorder="1" applyAlignment="1">
      <alignment horizontal="right"/>
    </xf>
    <xf numFmtId="166" fontId="10" fillId="5" borderId="2" xfId="5" applyNumberFormat="1" applyFont="1" applyFill="1" applyBorder="1" applyAlignment="1">
      <alignment horizontal="center" vertical="center"/>
    </xf>
    <xf numFmtId="0" fontId="10" fillId="5" borderId="2" xfId="5" applyFont="1" applyFill="1" applyBorder="1" applyAlignment="1">
      <alignment horizontal="center" vertical="center"/>
    </xf>
    <xf numFmtId="0" fontId="1" fillId="0" borderId="11" xfId="4" applyBorder="1" applyAlignment="1">
      <alignment horizontal="center" vertical="center"/>
    </xf>
    <xf numFmtId="0" fontId="1" fillId="0" borderId="12" xfId="4" applyBorder="1" applyAlignment="1">
      <alignment horizontal="center" vertical="center"/>
    </xf>
    <xf numFmtId="0" fontId="1" fillId="0" borderId="13" xfId="4" applyBorder="1" applyAlignment="1">
      <alignment horizontal="center" vertical="center"/>
    </xf>
    <xf numFmtId="0" fontId="1" fillId="0" borderId="8" xfId="4" applyBorder="1" applyAlignment="1">
      <alignment horizontal="center" vertical="center"/>
    </xf>
    <xf numFmtId="0" fontId="1" fillId="0" borderId="7" xfId="4" applyBorder="1" applyAlignment="1">
      <alignment horizontal="center" vertical="center"/>
    </xf>
    <xf numFmtId="0" fontId="1" fillId="0" borderId="14" xfId="4" applyBorder="1" applyAlignment="1">
      <alignment horizontal="center" vertical="center"/>
    </xf>
    <xf numFmtId="0" fontId="1" fillId="0" borderId="0" xfId="4" applyAlignment="1">
      <alignment horizontal="center" vertical="center" wrapText="1"/>
    </xf>
    <xf numFmtId="0" fontId="1" fillId="7" borderId="2" xfId="5" applyFill="1" applyBorder="1" applyAlignment="1">
      <alignment horizontal="center" vertical="center"/>
    </xf>
    <xf numFmtId="0" fontId="1" fillId="5" borderId="2" xfId="5" applyFill="1" applyBorder="1" applyAlignment="1">
      <alignment horizontal="center" vertical="center" wrapText="1"/>
    </xf>
  </cellXfs>
  <cellStyles count="6">
    <cellStyle name="Normální" xfId="0" builtinId="0"/>
    <cellStyle name="Normální 2" xfId="1" xr:uid="{A4E9A076-31D1-4698-9F8C-9525605458FE}"/>
    <cellStyle name="Normální 2 2" xfId="3" xr:uid="{1DA5E669-11AB-46E0-9DEF-501099797EB7}"/>
    <cellStyle name="Normální 2 2 2" xfId="5" xr:uid="{1B2F9179-5C2B-4392-B00C-EFE6A5D13E4E}"/>
    <cellStyle name="Normální 2 3" xfId="4" xr:uid="{79806199-2B7A-4F69-97B7-3584206FCA8A}"/>
    <cellStyle name="Normální 3" xfId="2" xr:uid="{F76AADC1-3557-4BD1-B93B-57F38B3148E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odkupová cena vs. zůstatek úvěru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'odkupní tabulka (15)'!$C$32</c:f>
              <c:strCache>
                <c:ptCount val="1"/>
                <c:pt idx="0">
                  <c:v>zůstatek úvěru 100% CAPEX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'odkupní tabulka (15)'!$E$34:$S$34</c:f>
              <c:numCache>
                <c:formatCode>#\ ##0\ "Kč"</c:formatCode>
                <c:ptCount val="15"/>
                <c:pt idx="0">
                  <c:v>5289189.9779999992</c:v>
                </c:pt>
                <c:pt idx="1">
                  <c:v>5094455.6059999997</c:v>
                </c:pt>
                <c:pt idx="2">
                  <c:v>4882560.6539999992</c:v>
                </c:pt>
                <c:pt idx="3">
                  <c:v>4652172.892</c:v>
                </c:pt>
                <c:pt idx="4">
                  <c:v>4401856.67</c:v>
                </c:pt>
                <c:pt idx="5">
                  <c:v>4130064.898</c:v>
                </c:pt>
                <c:pt idx="6">
                  <c:v>3835130.3760000002</c:v>
                </c:pt>
                <c:pt idx="7">
                  <c:v>3515256.4639999997</c:v>
                </c:pt>
                <c:pt idx="8">
                  <c:v>3168507.0519999997</c:v>
                </c:pt>
                <c:pt idx="9">
                  <c:v>2792795.7399999998</c:v>
                </c:pt>
                <c:pt idx="10">
                  <c:v>2385874.1179999998</c:v>
                </c:pt>
                <c:pt idx="11">
                  <c:v>1945319.2560000001</c:v>
                </c:pt>
                <c:pt idx="12">
                  <c:v>1468520.1340000001</c:v>
                </c:pt>
                <c:pt idx="13">
                  <c:v>952662.99199999985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70-43EC-B752-FB45E4ECBF31}"/>
            </c:ext>
          </c:extLst>
        </c:ser>
        <c:ser>
          <c:idx val="1"/>
          <c:order val="1"/>
          <c:tx>
            <c:strRef>
              <c:f>'odkupní tabulka (15)'!$C$35</c:f>
              <c:strCache>
                <c:ptCount val="1"/>
                <c:pt idx="0">
                  <c:v>zůstatek úvěru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'odkupní tabulka (15)'!$E$35:$S$35</c:f>
              <c:numCache>
                <c:formatCode>#\ ##0\ "Kč"</c:formatCode>
                <c:ptCount val="15"/>
                <c:pt idx="0">
                  <c:v>4209915.4800000004</c:v>
                </c:pt>
                <c:pt idx="1">
                  <c:v>4033092.66</c:v>
                </c:pt>
                <c:pt idx="2">
                  <c:v>3842542.62</c:v>
                </c:pt>
                <c:pt idx="3">
                  <c:v>3637199.68</c:v>
                </c:pt>
                <c:pt idx="4">
                  <c:v>3415915.44</c:v>
                </c:pt>
                <c:pt idx="5">
                  <c:v>3177452.33</c:v>
                </c:pt>
                <c:pt idx="6">
                  <c:v>2920476.71</c:v>
                </c:pt>
                <c:pt idx="7">
                  <c:v>2643551.4</c:v>
                </c:pt>
                <c:pt idx="8">
                  <c:v>2345127.66</c:v>
                </c:pt>
                <c:pt idx="9">
                  <c:v>2023536.51</c:v>
                </c:pt>
                <c:pt idx="10">
                  <c:v>1676979.41</c:v>
                </c:pt>
                <c:pt idx="11">
                  <c:v>1303518.17</c:v>
                </c:pt>
                <c:pt idx="12">
                  <c:v>901064.17</c:v>
                </c:pt>
                <c:pt idx="13">
                  <c:v>467366.62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70-43EC-B752-FB45E4ECB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025839"/>
        <c:axId val="1324026319"/>
      </c:lineChart>
      <c:catAx>
        <c:axId val="1324025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24026319"/>
        <c:crosses val="autoZero"/>
        <c:auto val="1"/>
        <c:lblAlgn val="ctr"/>
        <c:lblOffset val="100"/>
        <c:noMultiLvlLbl val="0"/>
      </c:catAx>
      <c:valAx>
        <c:axId val="13240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č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2402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odkupová cena vs. zůstatek úvěru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'odkupní tabulka (10)'!$C$32</c:f>
              <c:strCache>
                <c:ptCount val="1"/>
                <c:pt idx="0">
                  <c:v>zůstatek úvěru 100% CAPEX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'odkupní tabulka (10)'!$E$34:$S$34</c:f>
              <c:numCache>
                <c:formatCode>#\ ##0\ "Kč"</c:formatCode>
                <c:ptCount val="15"/>
                <c:pt idx="0">
                  <c:v>1315289.4680000001</c:v>
                </c:pt>
                <c:pt idx="1">
                  <c:v>1222991.6459999999</c:v>
                </c:pt>
                <c:pt idx="2">
                  <c:v>1122517.524</c:v>
                </c:pt>
                <c:pt idx="3">
                  <c:v>1013232.362</c:v>
                </c:pt>
                <c:pt idx="4">
                  <c:v>894452.11</c:v>
                </c:pt>
                <c:pt idx="5">
                  <c:v>765439.66800000006</c:v>
                </c:pt>
                <c:pt idx="6">
                  <c:v>625400.65599999996</c:v>
                </c:pt>
                <c:pt idx="7">
                  <c:v>473479.08400000003</c:v>
                </c:pt>
                <c:pt idx="8">
                  <c:v>308752.45200000005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26-48EA-93A6-B16CFA9D717C}"/>
            </c:ext>
          </c:extLst>
        </c:ser>
        <c:ser>
          <c:idx val="1"/>
          <c:order val="1"/>
          <c:tx>
            <c:strRef>
              <c:f>'odkupní tabulka (10)'!$C$35</c:f>
              <c:strCache>
                <c:ptCount val="1"/>
                <c:pt idx="0">
                  <c:v>zůstatek úvěru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'odkupní tabulka (10)'!$E$35:$S$35</c:f>
              <c:numCache>
                <c:formatCode>#\ ##0\ "Kč"</c:formatCode>
                <c:ptCount val="15"/>
                <c:pt idx="0">
                  <c:v>1041813.44</c:v>
                </c:pt>
                <c:pt idx="1">
                  <c:v>957557.05</c:v>
                </c:pt>
                <c:pt idx="2">
                  <c:v>866759.62</c:v>
                </c:pt>
                <c:pt idx="3">
                  <c:v>768913.35</c:v>
                </c:pt>
                <c:pt idx="4">
                  <c:v>663471.02</c:v>
                </c:pt>
                <c:pt idx="5">
                  <c:v>549842.92000000004</c:v>
                </c:pt>
                <c:pt idx="6">
                  <c:v>427393.59</c:v>
                </c:pt>
                <c:pt idx="7">
                  <c:v>295438.19</c:v>
                </c:pt>
                <c:pt idx="8">
                  <c:v>153238.75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26-48EA-93A6-B16CFA9D7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025839"/>
        <c:axId val="1324026319"/>
      </c:lineChart>
      <c:catAx>
        <c:axId val="1324025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24026319"/>
        <c:crosses val="autoZero"/>
        <c:auto val="1"/>
        <c:lblAlgn val="ctr"/>
        <c:lblOffset val="100"/>
        <c:noMultiLvlLbl val="0"/>
      </c:catAx>
      <c:valAx>
        <c:axId val="13240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č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2402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179294</xdr:colOff>
      <xdr:row>21</xdr:row>
      <xdr:rowOff>156882</xdr:rowOff>
    </xdr:from>
    <xdr:to>
      <xdr:col>20</xdr:col>
      <xdr:colOff>479106</xdr:colOff>
      <xdr:row>41</xdr:row>
      <xdr:rowOff>109782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3238F110-19FF-AF8D-541F-4F94FFFA6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2618" y="4235823"/>
          <a:ext cx="4401164" cy="3762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449036</xdr:colOff>
      <xdr:row>3</xdr:row>
      <xdr:rowOff>9525</xdr:rowOff>
    </xdr:from>
    <xdr:to>
      <xdr:col>19</xdr:col>
      <xdr:colOff>408214</xdr:colOff>
      <xdr:row>25</xdr:row>
      <xdr:rowOff>13607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CA546A08-0A19-4382-BEA9-C4103C35C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536863</xdr:colOff>
      <xdr:row>3</xdr:row>
      <xdr:rowOff>121227</xdr:rowOff>
    </xdr:from>
    <xdr:to>
      <xdr:col>26</xdr:col>
      <xdr:colOff>13580</xdr:colOff>
      <xdr:row>24</xdr:row>
      <xdr:rowOff>7469</xdr:rowOff>
    </xdr:to>
    <xdr:pic>
      <xdr:nvPicPr>
        <xdr:cNvPr id="7" name="Obrázek 6">
          <a:extLst>
            <a:ext uri="{FF2B5EF4-FFF2-40B4-BE49-F238E27FC236}">
              <a16:creationId xmlns:a16="http://schemas.microsoft.com/office/drawing/2014/main" id="{E43DAE84-10C8-224B-FBBC-731CB9C7B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00863" y="692727"/>
          <a:ext cx="4239217" cy="3886742"/>
        </a:xfrm>
        <a:prstGeom prst="rect">
          <a:avLst/>
        </a:prstGeom>
      </xdr:spPr>
    </xdr:pic>
    <xdr:clientData/>
  </xdr:twoCellAnchor>
  <xdr:twoCellAnchor editAs="oneCell">
    <xdr:from>
      <xdr:col>28</xdr:col>
      <xdr:colOff>554181</xdr:colOff>
      <xdr:row>3</xdr:row>
      <xdr:rowOff>51954</xdr:rowOff>
    </xdr:from>
    <xdr:to>
      <xdr:col>34</xdr:col>
      <xdr:colOff>183292</xdr:colOff>
      <xdr:row>22</xdr:row>
      <xdr:rowOff>185828</xdr:rowOff>
    </xdr:to>
    <xdr:pic>
      <xdr:nvPicPr>
        <xdr:cNvPr id="8" name="Obrázek 7">
          <a:extLst>
            <a:ext uri="{FF2B5EF4-FFF2-40B4-BE49-F238E27FC236}">
              <a16:creationId xmlns:a16="http://schemas.microsoft.com/office/drawing/2014/main" id="{14D0CE52-8CB2-7FEA-D8CD-362CF87A1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552726" y="623454"/>
          <a:ext cx="4201111" cy="3753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392205</xdr:colOff>
      <xdr:row>21</xdr:row>
      <xdr:rowOff>0</xdr:rowOff>
    </xdr:from>
    <xdr:to>
      <xdr:col>13</xdr:col>
      <xdr:colOff>67847</xdr:colOff>
      <xdr:row>41</xdr:row>
      <xdr:rowOff>172006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F5688639-0BE8-20B7-4D0B-32EF4EA59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1323" y="4078941"/>
          <a:ext cx="4382112" cy="39820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449036</xdr:colOff>
      <xdr:row>3</xdr:row>
      <xdr:rowOff>9525</xdr:rowOff>
    </xdr:from>
    <xdr:to>
      <xdr:col>19</xdr:col>
      <xdr:colOff>408214</xdr:colOff>
      <xdr:row>25</xdr:row>
      <xdr:rowOff>13607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BF44AE38-1FF5-489B-A36E-538BAB7F2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484909</xdr:colOff>
      <xdr:row>4</xdr:row>
      <xdr:rowOff>17318</xdr:rowOff>
    </xdr:from>
    <xdr:to>
      <xdr:col>26</xdr:col>
      <xdr:colOff>123573</xdr:colOff>
      <xdr:row>23</xdr:row>
      <xdr:rowOff>179771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42A9A610-48B5-40EF-0D9E-AD3CBD0BE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48909" y="779318"/>
          <a:ext cx="4401164" cy="3781953"/>
        </a:xfrm>
        <a:prstGeom prst="rect">
          <a:avLst/>
        </a:prstGeom>
      </xdr:spPr>
    </xdr:pic>
    <xdr:clientData/>
  </xdr:twoCellAnchor>
  <xdr:twoCellAnchor editAs="oneCell">
    <xdr:from>
      <xdr:col>28</xdr:col>
      <xdr:colOff>381000</xdr:colOff>
      <xdr:row>4</xdr:row>
      <xdr:rowOff>86591</xdr:rowOff>
    </xdr:from>
    <xdr:to>
      <xdr:col>34</xdr:col>
      <xdr:colOff>76796</xdr:colOff>
      <xdr:row>24</xdr:row>
      <xdr:rowOff>115702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33A3D0C2-E424-2DD5-5287-BECDD37E1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79545" y="848591"/>
          <a:ext cx="4267796" cy="3839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L49"/>
  <sheetViews>
    <sheetView tabSelected="1" zoomScale="85" zoomScaleNormal="85" workbookViewId="0">
      <selection activeCell="F6" sqref="F6"/>
    </sheetView>
  </sheetViews>
  <sheetFormatPr defaultColWidth="8.7109375" defaultRowHeight="15" x14ac:dyDescent="0.25"/>
  <cols>
    <col min="3" max="3" width="14" customWidth="1"/>
    <col min="4" max="4" width="21.7109375" bestFit="1" customWidth="1"/>
    <col min="5" max="5" width="12.28515625" bestFit="1" customWidth="1"/>
    <col min="6" max="6" width="11.5703125" bestFit="1" customWidth="1"/>
    <col min="7" max="7" width="12.28515625" customWidth="1"/>
    <col min="8" max="8" width="12.7109375" customWidth="1"/>
    <col min="9" max="25" width="10.28515625" bestFit="1" customWidth="1"/>
    <col min="30" max="30" width="13.7109375" customWidth="1"/>
    <col min="31" max="31" width="33.5703125" customWidth="1"/>
    <col min="32" max="32" width="14.42578125" bestFit="1" customWidth="1"/>
    <col min="33" max="33" width="11.5703125" bestFit="1" customWidth="1"/>
    <col min="34" max="34" width="11.85546875" bestFit="1" customWidth="1"/>
    <col min="35" max="35" width="10" bestFit="1" customWidth="1"/>
    <col min="36" max="36" width="11.5703125" bestFit="1" customWidth="1"/>
    <col min="37" max="37" width="14.42578125" bestFit="1" customWidth="1"/>
    <col min="38" max="38" width="16.5703125" customWidth="1"/>
  </cols>
  <sheetData>
    <row r="1" spans="3:25" x14ac:dyDescent="0.25">
      <c r="C1" s="13"/>
      <c r="D1" t="s">
        <v>18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</row>
    <row r="3" spans="3:25" x14ac:dyDescent="0.25">
      <c r="C3" s="118">
        <v>300</v>
      </c>
      <c r="D3" t="s">
        <v>0</v>
      </c>
      <c r="I3" s="1">
        <v>0.03</v>
      </c>
      <c r="L3" s="1">
        <v>0.03</v>
      </c>
      <c r="O3" s="1">
        <v>0.03</v>
      </c>
    </row>
    <row r="4" spans="3:25" x14ac:dyDescent="0.25">
      <c r="C4" s="118"/>
      <c r="D4" t="s">
        <v>1</v>
      </c>
      <c r="E4" s="2">
        <v>2026</v>
      </c>
      <c r="F4" s="2">
        <v>2027</v>
      </c>
      <c r="G4" s="2">
        <v>2028</v>
      </c>
      <c r="H4" s="2">
        <v>2029</v>
      </c>
      <c r="I4" s="2">
        <v>2030</v>
      </c>
      <c r="J4" s="2">
        <v>2031</v>
      </c>
      <c r="K4" s="2">
        <v>2032</v>
      </c>
      <c r="L4" s="2">
        <v>2033</v>
      </c>
      <c r="M4" s="2">
        <v>2034</v>
      </c>
      <c r="N4" s="2">
        <v>2035</v>
      </c>
      <c r="O4" s="2">
        <v>2036</v>
      </c>
      <c r="P4" s="2">
        <v>2037</v>
      </c>
      <c r="Q4" s="2">
        <v>2038</v>
      </c>
      <c r="R4" s="2">
        <v>2039</v>
      </c>
      <c r="S4" s="2">
        <v>2040</v>
      </c>
      <c r="T4" s="2">
        <v>2041</v>
      </c>
      <c r="U4" s="2"/>
      <c r="V4" s="2"/>
      <c r="W4" s="2"/>
      <c r="X4" s="2"/>
      <c r="Y4" s="2"/>
    </row>
    <row r="5" spans="3:25" x14ac:dyDescent="0.25">
      <c r="C5" s="118"/>
      <c r="D5" t="s">
        <v>2</v>
      </c>
      <c r="E5" s="3"/>
      <c r="F5" s="26">
        <v>299</v>
      </c>
      <c r="G5" s="36">
        <f>F5*0.995</f>
        <v>297.505</v>
      </c>
      <c r="H5" s="36">
        <f t="shared" ref="H5:T5" si="0">G5*0.995</f>
        <v>296.01747499999999</v>
      </c>
      <c r="I5" s="36">
        <f t="shared" si="0"/>
        <v>294.53738762500001</v>
      </c>
      <c r="J5" s="36">
        <f t="shared" si="0"/>
        <v>293.06470068687503</v>
      </c>
      <c r="K5" s="36">
        <f t="shared" si="0"/>
        <v>291.59937718344065</v>
      </c>
      <c r="L5" s="36">
        <f t="shared" si="0"/>
        <v>290.14138029752343</v>
      </c>
      <c r="M5" s="36">
        <f t="shared" si="0"/>
        <v>288.69067339603583</v>
      </c>
      <c r="N5" s="36">
        <f t="shared" si="0"/>
        <v>287.24722002905565</v>
      </c>
      <c r="O5" s="36">
        <f t="shared" si="0"/>
        <v>285.81098392891039</v>
      </c>
      <c r="P5" s="36">
        <f t="shared" si="0"/>
        <v>284.38192900926583</v>
      </c>
      <c r="Q5" s="36">
        <f t="shared" si="0"/>
        <v>282.96001936421948</v>
      </c>
      <c r="R5" s="36">
        <f t="shared" si="0"/>
        <v>281.54521926739835</v>
      </c>
      <c r="S5" s="36">
        <f t="shared" si="0"/>
        <v>280.13749317106135</v>
      </c>
      <c r="T5" s="36">
        <f t="shared" si="0"/>
        <v>278.73680570520605</v>
      </c>
      <c r="U5" s="36"/>
      <c r="V5" s="36"/>
      <c r="W5" s="36"/>
      <c r="X5" s="36"/>
      <c r="Y5" s="36"/>
    </row>
    <row r="6" spans="3:25" x14ac:dyDescent="0.25">
      <c r="C6" s="118"/>
      <c r="D6" t="s">
        <v>3</v>
      </c>
      <c r="E6" s="3"/>
      <c r="F6" s="27">
        <v>2470</v>
      </c>
      <c r="G6" s="28">
        <f>F6</f>
        <v>2470</v>
      </c>
      <c r="H6" s="28">
        <f>G6</f>
        <v>2470</v>
      </c>
      <c r="I6" s="28">
        <f>H6*(1+I3)</f>
        <v>2544.1</v>
      </c>
      <c r="J6" s="28">
        <f>I6</f>
        <v>2544.1</v>
      </c>
      <c r="K6" s="28">
        <f>J6</f>
        <v>2544.1</v>
      </c>
      <c r="L6" s="28">
        <f>K6*(1+L3)</f>
        <v>2620.4229999999998</v>
      </c>
      <c r="M6" s="28">
        <f>L6</f>
        <v>2620.4229999999998</v>
      </c>
      <c r="N6" s="28">
        <f>M6</f>
        <v>2620.4229999999998</v>
      </c>
      <c r="O6" s="28">
        <f>N6*(1+O3)</f>
        <v>2699.0356899999997</v>
      </c>
      <c r="P6" s="28">
        <f>O6</f>
        <v>2699.0356899999997</v>
      </c>
      <c r="Q6" s="28">
        <f>P6</f>
        <v>2699.0356899999997</v>
      </c>
      <c r="R6" s="28">
        <f>Q6</f>
        <v>2699.0356899999997</v>
      </c>
      <c r="S6" s="28">
        <f>R6*(1+S3)</f>
        <v>2699.0356899999997</v>
      </c>
      <c r="T6" s="28">
        <f>S6</f>
        <v>2699.0356899999997</v>
      </c>
      <c r="U6" s="28"/>
      <c r="V6" s="28"/>
      <c r="W6" s="28"/>
      <c r="X6" s="28"/>
      <c r="Y6" s="28"/>
    </row>
    <row r="7" spans="3:25" x14ac:dyDescent="0.25">
      <c r="C7" s="12">
        <v>0.78</v>
      </c>
      <c r="D7" t="s">
        <v>4</v>
      </c>
      <c r="E7" s="3"/>
      <c r="F7" s="28">
        <f t="shared" ref="F7:O7" si="1">F5*$C$7*F6</f>
        <v>576053.4</v>
      </c>
      <c r="G7" s="28">
        <f t="shared" si="1"/>
        <v>573173.13300000003</v>
      </c>
      <c r="H7" s="28">
        <f t="shared" si="1"/>
        <v>570307.26733499998</v>
      </c>
      <c r="I7" s="28">
        <f t="shared" si="1"/>
        <v>584479.40292827471</v>
      </c>
      <c r="J7" s="28">
        <f t="shared" si="1"/>
        <v>581557.00591363339</v>
      </c>
      <c r="K7" s="28">
        <f t="shared" si="1"/>
        <v>578649.22088406526</v>
      </c>
      <c r="L7" s="28">
        <f t="shared" si="1"/>
        <v>593028.65402303427</v>
      </c>
      <c r="M7" s="28">
        <f t="shared" si="1"/>
        <v>590063.51075291913</v>
      </c>
      <c r="N7" s="28">
        <f t="shared" si="1"/>
        <v>587113.19319915446</v>
      </c>
      <c r="O7" s="28">
        <f t="shared" si="1"/>
        <v>601702.95605015347</v>
      </c>
      <c r="P7" s="28">
        <f t="shared" ref="P7:T7" si="2">P5*$C$7*P6</f>
        <v>598694.44126990275</v>
      </c>
      <c r="Q7" s="28">
        <f t="shared" si="2"/>
        <v>595700.96906355314</v>
      </c>
      <c r="R7" s="28">
        <f t="shared" si="2"/>
        <v>592722.46421823534</v>
      </c>
      <c r="S7" s="28">
        <f t="shared" si="2"/>
        <v>589758.85189714411</v>
      </c>
      <c r="T7" s="28">
        <f t="shared" si="2"/>
        <v>586810.05763765844</v>
      </c>
      <c r="U7" s="28"/>
      <c r="V7" s="28"/>
      <c r="W7" s="28"/>
      <c r="X7" s="28"/>
      <c r="Y7" s="28"/>
    </row>
    <row r="8" spans="3:25" x14ac:dyDescent="0.25">
      <c r="D8" t="s">
        <v>5</v>
      </c>
      <c r="E8" s="3"/>
      <c r="F8" s="27">
        <v>1800</v>
      </c>
      <c r="G8" s="28">
        <f>F8</f>
        <v>1800</v>
      </c>
      <c r="H8" s="28">
        <f>G8</f>
        <v>1800</v>
      </c>
      <c r="I8" s="28">
        <f>H8*(1+I3)</f>
        <v>1854</v>
      </c>
      <c r="J8" s="28">
        <f>I8</f>
        <v>1854</v>
      </c>
      <c r="K8" s="28">
        <f>J8</f>
        <v>1854</v>
      </c>
      <c r="L8" s="28">
        <f>K8*(1+L3)</f>
        <v>1909.6200000000001</v>
      </c>
      <c r="M8" s="28">
        <f>L8</f>
        <v>1909.6200000000001</v>
      </c>
      <c r="N8" s="28">
        <f>M8</f>
        <v>1909.6200000000001</v>
      </c>
      <c r="O8" s="28">
        <f>N8*(1+O3)</f>
        <v>1966.9086000000002</v>
      </c>
      <c r="P8" s="28">
        <f>O8</f>
        <v>1966.9086000000002</v>
      </c>
      <c r="Q8" s="28">
        <f>P8</f>
        <v>1966.9086000000002</v>
      </c>
      <c r="R8" s="28">
        <f>Q8</f>
        <v>1966.9086000000002</v>
      </c>
      <c r="S8" s="28">
        <f>R8*(1+S3)</f>
        <v>1966.9086000000002</v>
      </c>
      <c r="T8" s="28">
        <f>S8</f>
        <v>1966.9086000000002</v>
      </c>
      <c r="U8" s="28"/>
      <c r="V8" s="28"/>
      <c r="W8" s="28"/>
      <c r="X8" s="28"/>
      <c r="Y8" s="28"/>
    </row>
    <row r="9" spans="3:25" ht="15.75" customHeight="1" thickBot="1" x14ac:dyDescent="0.3">
      <c r="C9" s="6">
        <v>0.17</v>
      </c>
      <c r="D9" t="s">
        <v>6</v>
      </c>
      <c r="E9" s="3"/>
      <c r="F9" s="29">
        <f t="shared" ref="F9:O9" si="3">F8*F5*$C$9</f>
        <v>91494</v>
      </c>
      <c r="G9" s="29">
        <f t="shared" si="3"/>
        <v>91036.530000000013</v>
      </c>
      <c r="H9" s="29">
        <f t="shared" si="3"/>
        <v>90581.347349999996</v>
      </c>
      <c r="I9" s="29">
        <f t="shared" si="3"/>
        <v>92832.293831647519</v>
      </c>
      <c r="J9" s="29">
        <f t="shared" si="3"/>
        <v>92368.132362489283</v>
      </c>
      <c r="K9" s="29">
        <f t="shared" si="3"/>
        <v>91906.29170067684</v>
      </c>
      <c r="L9" s="29">
        <f t="shared" si="3"/>
        <v>94190.163049438648</v>
      </c>
      <c r="M9" s="29">
        <f t="shared" si="3"/>
        <v>93719.212234191451</v>
      </c>
      <c r="N9" s="29">
        <f t="shared" si="3"/>
        <v>93250.61617302052</v>
      </c>
      <c r="O9" s="29">
        <f t="shared" si="3"/>
        <v>95567.893984920083</v>
      </c>
      <c r="P9" s="29">
        <f t="shared" ref="P9:T9" si="4">P8*P5*$C$9</f>
        <v>95090.054514995471</v>
      </c>
      <c r="Q9" s="29">
        <f t="shared" si="4"/>
        <v>94614.604242420493</v>
      </c>
      <c r="R9" s="29">
        <f t="shared" si="4"/>
        <v>94141.531221208381</v>
      </c>
      <c r="S9" s="29">
        <f t="shared" si="4"/>
        <v>93670.823565102328</v>
      </c>
      <c r="T9" s="29">
        <f t="shared" si="4"/>
        <v>93202.469447276817</v>
      </c>
      <c r="U9" s="29"/>
      <c r="V9" s="29"/>
      <c r="W9" s="29"/>
      <c r="X9" s="29"/>
      <c r="Y9" s="29"/>
    </row>
    <row r="10" spans="3:25" ht="15.75" customHeight="1" thickBot="1" x14ac:dyDescent="0.3">
      <c r="D10" s="7" t="s">
        <v>7</v>
      </c>
      <c r="E10" s="8"/>
      <c r="F10" s="30">
        <f t="shared" ref="F10:O10" si="5">F7+F9</f>
        <v>667547.4</v>
      </c>
      <c r="G10" s="30">
        <f t="shared" si="5"/>
        <v>664209.66300000006</v>
      </c>
      <c r="H10" s="30">
        <f t="shared" si="5"/>
        <v>660888.61468499992</v>
      </c>
      <c r="I10" s="30">
        <f t="shared" si="5"/>
        <v>677311.6967599222</v>
      </c>
      <c r="J10" s="30">
        <f t="shared" si="5"/>
        <v>673925.13827612263</v>
      </c>
      <c r="K10" s="30">
        <f t="shared" si="5"/>
        <v>670555.51258474216</v>
      </c>
      <c r="L10" s="30">
        <f t="shared" si="5"/>
        <v>687218.81707247288</v>
      </c>
      <c r="M10" s="30">
        <f t="shared" si="5"/>
        <v>683782.72298711061</v>
      </c>
      <c r="N10" s="30">
        <f t="shared" si="5"/>
        <v>680363.80937217502</v>
      </c>
      <c r="O10" s="9">
        <f t="shared" si="5"/>
        <v>697270.85003507358</v>
      </c>
      <c r="P10" s="30">
        <f t="shared" ref="P10:T10" si="6">P7+P9</f>
        <v>693784.49578489817</v>
      </c>
      <c r="Q10" s="30">
        <f t="shared" si="6"/>
        <v>690315.57330597367</v>
      </c>
      <c r="R10" s="30">
        <f t="shared" si="6"/>
        <v>686863.99543944374</v>
      </c>
      <c r="S10" s="30">
        <f t="shared" si="6"/>
        <v>683429.67546224641</v>
      </c>
      <c r="T10" s="30">
        <f t="shared" si="6"/>
        <v>680012.52708493522</v>
      </c>
      <c r="U10" s="30"/>
      <c r="V10" s="30"/>
      <c r="W10" s="30"/>
      <c r="X10" s="30"/>
      <c r="Y10" s="30"/>
    </row>
    <row r="11" spans="3:25" ht="15.75" customHeight="1" x14ac:dyDescent="0.25">
      <c r="C11" s="4">
        <v>0</v>
      </c>
      <c r="D11" s="47" t="s">
        <v>24</v>
      </c>
      <c r="E11" s="48"/>
      <c r="F11" s="49">
        <f>C11*12</f>
        <v>0</v>
      </c>
      <c r="G11" s="49">
        <f>F11</f>
        <v>0</v>
      </c>
      <c r="H11" s="49">
        <f t="shared" ref="H11:T11" si="7">G11</f>
        <v>0</v>
      </c>
      <c r="I11" s="49">
        <f t="shared" si="7"/>
        <v>0</v>
      </c>
      <c r="J11" s="49">
        <f t="shared" si="7"/>
        <v>0</v>
      </c>
      <c r="K11" s="49">
        <f t="shared" si="7"/>
        <v>0</v>
      </c>
      <c r="L11" s="49">
        <f t="shared" si="7"/>
        <v>0</v>
      </c>
      <c r="M11" s="49">
        <f t="shared" si="7"/>
        <v>0</v>
      </c>
      <c r="N11" s="49">
        <f t="shared" si="7"/>
        <v>0</v>
      </c>
      <c r="O11" s="49">
        <f t="shared" si="7"/>
        <v>0</v>
      </c>
      <c r="P11" s="49">
        <f t="shared" si="7"/>
        <v>0</v>
      </c>
      <c r="Q11" s="49">
        <f t="shared" si="7"/>
        <v>0</v>
      </c>
      <c r="R11" s="49">
        <f t="shared" si="7"/>
        <v>0</v>
      </c>
      <c r="S11" s="49">
        <f t="shared" si="7"/>
        <v>0</v>
      </c>
      <c r="T11" s="49">
        <f t="shared" si="7"/>
        <v>0</v>
      </c>
      <c r="U11" s="49"/>
      <c r="V11" s="49"/>
      <c r="W11" s="49"/>
      <c r="X11" s="49"/>
      <c r="Y11" s="49"/>
    </row>
    <row r="12" spans="3:25" ht="15.75" customHeight="1" x14ac:dyDescent="0.25">
      <c r="C12" s="4">
        <v>25000</v>
      </c>
      <c r="D12" t="s">
        <v>8</v>
      </c>
      <c r="E12" s="3"/>
      <c r="F12" s="50">
        <f t="shared" ref="F12:T12" si="8">$C$12</f>
        <v>25000</v>
      </c>
      <c r="G12" s="50">
        <f t="shared" si="8"/>
        <v>25000</v>
      </c>
      <c r="H12" s="50">
        <f t="shared" si="8"/>
        <v>25000</v>
      </c>
      <c r="I12" s="50">
        <f t="shared" si="8"/>
        <v>25000</v>
      </c>
      <c r="J12" s="50">
        <f t="shared" si="8"/>
        <v>25000</v>
      </c>
      <c r="K12" s="50">
        <f t="shared" si="8"/>
        <v>25000</v>
      </c>
      <c r="L12" s="50">
        <f t="shared" si="8"/>
        <v>25000</v>
      </c>
      <c r="M12" s="50">
        <f t="shared" si="8"/>
        <v>25000</v>
      </c>
      <c r="N12" s="50">
        <f t="shared" si="8"/>
        <v>25000</v>
      </c>
      <c r="O12" s="50">
        <f t="shared" si="8"/>
        <v>25000</v>
      </c>
      <c r="P12" s="50">
        <f t="shared" si="8"/>
        <v>25000</v>
      </c>
      <c r="Q12" s="50">
        <f t="shared" si="8"/>
        <v>25000</v>
      </c>
      <c r="R12" s="50">
        <f t="shared" si="8"/>
        <v>25000</v>
      </c>
      <c r="S12" s="50">
        <f t="shared" si="8"/>
        <v>25000</v>
      </c>
      <c r="T12" s="50">
        <f t="shared" si="8"/>
        <v>25000</v>
      </c>
      <c r="U12" s="50"/>
      <c r="V12" s="50"/>
      <c r="W12" s="50"/>
      <c r="X12" s="50"/>
      <c r="Y12" s="50"/>
    </row>
    <row r="13" spans="3:25" ht="15.75" customHeight="1" x14ac:dyDescent="0.25">
      <c r="D13" s="2" t="s">
        <v>9</v>
      </c>
      <c r="E13" s="2"/>
      <c r="F13" s="28">
        <f>F10-F12+F11</f>
        <v>642547.4</v>
      </c>
      <c r="G13" s="28">
        <f t="shared" ref="G13:T13" si="9">G10-G12+G11</f>
        <v>639209.66300000006</v>
      </c>
      <c r="H13" s="28">
        <f t="shared" si="9"/>
        <v>635888.61468499992</v>
      </c>
      <c r="I13" s="28">
        <f t="shared" si="9"/>
        <v>652311.6967599222</v>
      </c>
      <c r="J13" s="28">
        <f t="shared" si="9"/>
        <v>648925.13827612263</v>
      </c>
      <c r="K13" s="28">
        <f t="shared" si="9"/>
        <v>645555.51258474216</v>
      </c>
      <c r="L13" s="28">
        <f t="shared" si="9"/>
        <v>662218.81707247288</v>
      </c>
      <c r="M13" s="28">
        <f t="shared" si="9"/>
        <v>658782.72298711061</v>
      </c>
      <c r="N13" s="28">
        <f t="shared" si="9"/>
        <v>655363.80937217502</v>
      </c>
      <c r="O13" s="28">
        <f t="shared" si="9"/>
        <v>672270.85003507358</v>
      </c>
      <c r="P13" s="28">
        <f t="shared" si="9"/>
        <v>668784.49578489817</v>
      </c>
      <c r="Q13" s="28">
        <f t="shared" si="9"/>
        <v>665315.57330597367</v>
      </c>
      <c r="R13" s="28">
        <f t="shared" si="9"/>
        <v>661863.99543944374</v>
      </c>
      <c r="S13" s="28">
        <f t="shared" si="9"/>
        <v>658429.67546224641</v>
      </c>
      <c r="T13" s="28">
        <f t="shared" si="9"/>
        <v>655012.52708493522</v>
      </c>
      <c r="U13" s="28"/>
      <c r="V13" s="28"/>
      <c r="W13" s="28"/>
      <c r="X13" s="28"/>
      <c r="Y13" s="28"/>
    </row>
    <row r="14" spans="3:25" ht="15.75" customHeight="1" thickBot="1" x14ac:dyDescent="0.3">
      <c r="C14" s="4">
        <v>40547</v>
      </c>
      <c r="D14" t="s">
        <v>10</v>
      </c>
      <c r="E14" s="3"/>
      <c r="F14" s="29">
        <f t="shared" ref="F14:T14" si="10">$C$14*12</f>
        <v>486564</v>
      </c>
      <c r="G14" s="29">
        <f t="shared" si="10"/>
        <v>486564</v>
      </c>
      <c r="H14" s="29">
        <f t="shared" si="10"/>
        <v>486564</v>
      </c>
      <c r="I14" s="29">
        <f t="shared" si="10"/>
        <v>486564</v>
      </c>
      <c r="J14" s="29">
        <f t="shared" si="10"/>
        <v>486564</v>
      </c>
      <c r="K14" s="29">
        <f t="shared" si="10"/>
        <v>486564</v>
      </c>
      <c r="L14" s="29">
        <f t="shared" si="10"/>
        <v>486564</v>
      </c>
      <c r="M14" s="29">
        <f t="shared" si="10"/>
        <v>486564</v>
      </c>
      <c r="N14" s="29">
        <f t="shared" si="10"/>
        <v>486564</v>
      </c>
      <c r="O14" s="29">
        <f t="shared" si="10"/>
        <v>486564</v>
      </c>
      <c r="P14" s="29">
        <f t="shared" si="10"/>
        <v>486564</v>
      </c>
      <c r="Q14" s="29">
        <f t="shared" si="10"/>
        <v>486564</v>
      </c>
      <c r="R14" s="29">
        <f t="shared" si="10"/>
        <v>486564</v>
      </c>
      <c r="S14" s="29">
        <f t="shared" si="10"/>
        <v>486564</v>
      </c>
      <c r="T14" s="29">
        <f t="shared" si="10"/>
        <v>486564</v>
      </c>
      <c r="U14" s="29"/>
      <c r="V14" s="29"/>
      <c r="W14" s="29"/>
      <c r="X14" s="29"/>
      <c r="Y14" s="29"/>
    </row>
    <row r="15" spans="3:25" ht="15.75" customHeight="1" thickBot="1" x14ac:dyDescent="0.3">
      <c r="D15" s="34" t="s">
        <v>11</v>
      </c>
      <c r="E15" s="31"/>
      <c r="F15" s="32">
        <f t="shared" ref="F15:O15" si="11">F13/F14</f>
        <v>1.3205814651310004</v>
      </c>
      <c r="G15" s="32">
        <f t="shared" si="11"/>
        <v>1.3137216542941936</v>
      </c>
      <c r="H15" s="32">
        <f t="shared" si="11"/>
        <v>1.3068961425115708</v>
      </c>
      <c r="I15" s="32">
        <f t="shared" si="11"/>
        <v>1.3406493221034073</v>
      </c>
      <c r="J15" s="32">
        <f t="shared" si="11"/>
        <v>1.3336891719817385</v>
      </c>
      <c r="K15" s="32">
        <f t="shared" si="11"/>
        <v>1.3267638226106784</v>
      </c>
      <c r="L15" s="32">
        <f t="shared" si="11"/>
        <v>1.3610107140529775</v>
      </c>
      <c r="M15" s="32">
        <f t="shared" si="11"/>
        <v>1.3539487569715609</v>
      </c>
      <c r="N15" s="32">
        <f t="shared" si="11"/>
        <v>1.3469221096755515</v>
      </c>
      <c r="O15" s="33">
        <f t="shared" si="11"/>
        <v>1.3816699345514127</v>
      </c>
      <c r="P15" s="32">
        <f t="shared" ref="P15:T15" si="12">P13/P14</f>
        <v>1.3745046813675039</v>
      </c>
      <c r="Q15" s="32">
        <f t="shared" si="12"/>
        <v>1.3673752544495148</v>
      </c>
      <c r="R15" s="32">
        <f t="shared" si="12"/>
        <v>1.3602814746661154</v>
      </c>
      <c r="S15" s="32">
        <f t="shared" si="12"/>
        <v>1.3532231637816328</v>
      </c>
      <c r="T15" s="32">
        <f t="shared" si="12"/>
        <v>1.3462001444515732</v>
      </c>
      <c r="U15" s="32"/>
      <c r="V15" s="32"/>
      <c r="W15" s="32"/>
      <c r="X15" s="32"/>
      <c r="Y15" s="32"/>
    </row>
    <row r="17" spans="2:25" x14ac:dyDescent="0.25">
      <c r="D17" s="22" t="s">
        <v>12</v>
      </c>
      <c r="E17" s="23"/>
      <c r="F17" s="24">
        <f t="shared" ref="F17:T17" si="13">F13-F14</f>
        <v>155983.40000000002</v>
      </c>
      <c r="G17" s="24">
        <f t="shared" si="13"/>
        <v>152645.66300000006</v>
      </c>
      <c r="H17" s="24">
        <f t="shared" si="13"/>
        <v>149324.61468499992</v>
      </c>
      <c r="I17" s="24">
        <f t="shared" si="13"/>
        <v>165747.6967599222</v>
      </c>
      <c r="J17" s="24">
        <f t="shared" si="13"/>
        <v>162361.13827612263</v>
      </c>
      <c r="K17" s="24">
        <f t="shared" si="13"/>
        <v>158991.51258474216</v>
      </c>
      <c r="L17" s="24">
        <f t="shared" si="13"/>
        <v>175654.81707247288</v>
      </c>
      <c r="M17" s="24">
        <f t="shared" si="13"/>
        <v>172218.72298711061</v>
      </c>
      <c r="N17" s="24">
        <f t="shared" si="13"/>
        <v>168799.80937217502</v>
      </c>
      <c r="O17" s="25">
        <f t="shared" si="13"/>
        <v>185706.85003507358</v>
      </c>
      <c r="P17" s="24">
        <f>P13-P14</f>
        <v>182220.49578489817</v>
      </c>
      <c r="Q17" s="24">
        <f t="shared" si="13"/>
        <v>178751.57330597367</v>
      </c>
      <c r="R17" s="24">
        <f t="shared" si="13"/>
        <v>175299.99543944374</v>
      </c>
      <c r="S17" s="24">
        <f t="shared" si="13"/>
        <v>171865.67546224641</v>
      </c>
      <c r="T17" s="24">
        <f t="shared" si="13"/>
        <v>168448.52708493522</v>
      </c>
      <c r="U17" s="24"/>
      <c r="V17" s="24"/>
      <c r="W17" s="24"/>
      <c r="X17" s="24"/>
      <c r="Y17" s="25"/>
    </row>
    <row r="18" spans="2:25" x14ac:dyDescent="0.25"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25" x14ac:dyDescent="0.25">
      <c r="D19" s="15" t="s">
        <v>13</v>
      </c>
      <c r="E19" s="16">
        <f>-D24</f>
        <v>-1093500</v>
      </c>
      <c r="F19" s="17">
        <f t="shared" ref="F19:T19" si="14">F17</f>
        <v>155983.40000000002</v>
      </c>
      <c r="G19" s="17">
        <f t="shared" si="14"/>
        <v>152645.66300000006</v>
      </c>
      <c r="H19" s="17">
        <f t="shared" si="14"/>
        <v>149324.61468499992</v>
      </c>
      <c r="I19" s="17">
        <f t="shared" si="14"/>
        <v>165747.6967599222</v>
      </c>
      <c r="J19" s="17">
        <f t="shared" si="14"/>
        <v>162361.13827612263</v>
      </c>
      <c r="K19" s="17">
        <f t="shared" si="14"/>
        <v>158991.51258474216</v>
      </c>
      <c r="L19" s="17">
        <f t="shared" si="14"/>
        <v>175654.81707247288</v>
      </c>
      <c r="M19" s="17">
        <f t="shared" si="14"/>
        <v>172218.72298711061</v>
      </c>
      <c r="N19" s="17">
        <f t="shared" si="14"/>
        <v>168799.80937217502</v>
      </c>
      <c r="O19" s="17">
        <f t="shared" si="14"/>
        <v>185706.85003507358</v>
      </c>
      <c r="P19" s="17">
        <f t="shared" si="14"/>
        <v>182220.49578489817</v>
      </c>
      <c r="Q19" s="17">
        <f t="shared" si="14"/>
        <v>178751.57330597367</v>
      </c>
      <c r="R19" s="17">
        <f t="shared" si="14"/>
        <v>175299.99543944374</v>
      </c>
      <c r="S19" s="17">
        <f t="shared" si="14"/>
        <v>171865.67546224641</v>
      </c>
      <c r="T19" s="17">
        <f t="shared" si="14"/>
        <v>168448.52708493522</v>
      </c>
      <c r="U19" s="17"/>
      <c r="V19" s="17"/>
      <c r="W19" s="17"/>
      <c r="X19" s="17"/>
      <c r="Y19" s="18"/>
    </row>
    <row r="20" spans="2:25" x14ac:dyDescent="0.25">
      <c r="D20" s="19" t="s">
        <v>14</v>
      </c>
      <c r="E20" s="20">
        <f>IRR(E19:T19)</f>
        <v>0.12425184546881352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21"/>
    </row>
    <row r="23" spans="2:25" x14ac:dyDescent="0.25">
      <c r="B23" s="10">
        <v>1</v>
      </c>
      <c r="C23" t="s">
        <v>15</v>
      </c>
      <c r="D23" s="5">
        <f>E36</f>
        <v>5467500</v>
      </c>
      <c r="J23" s="123" t="s">
        <v>2</v>
      </c>
      <c r="K23" s="124"/>
      <c r="L23" s="121">
        <f>F5</f>
        <v>299</v>
      </c>
      <c r="M23" s="122"/>
      <c r="N23" t="s">
        <v>20</v>
      </c>
    </row>
    <row r="24" spans="2:25" x14ac:dyDescent="0.25">
      <c r="B24" s="41">
        <v>0.2</v>
      </c>
      <c r="C24" s="42" t="s">
        <v>16</v>
      </c>
      <c r="D24" s="43">
        <f>D23*B24</f>
        <v>1093500</v>
      </c>
      <c r="J24" s="123" t="s">
        <v>19</v>
      </c>
      <c r="K24" s="124"/>
      <c r="L24" s="125">
        <f>C7</f>
        <v>0.78</v>
      </c>
      <c r="M24" s="126"/>
    </row>
    <row r="25" spans="2:25" x14ac:dyDescent="0.25">
      <c r="B25" s="44">
        <v>0.8</v>
      </c>
      <c r="C25" s="45" t="s">
        <v>17</v>
      </c>
      <c r="D25" s="46">
        <f>D23-D24</f>
        <v>4374000</v>
      </c>
      <c r="J25" s="119" t="s">
        <v>21</v>
      </c>
      <c r="K25" s="120"/>
      <c r="L25" s="121">
        <f>L23*L24</f>
        <v>233.22</v>
      </c>
      <c r="M25" s="122"/>
      <c r="N25" t="s">
        <v>20</v>
      </c>
    </row>
    <row r="27" spans="2:25" x14ac:dyDescent="0.25">
      <c r="B27" s="10"/>
      <c r="D27" s="11"/>
      <c r="J27" s="123" t="s">
        <v>22</v>
      </c>
      <c r="K27" s="124"/>
      <c r="L27" s="121"/>
      <c r="M27" s="122"/>
      <c r="N27" t="s">
        <v>20</v>
      </c>
    </row>
    <row r="28" spans="2:25" x14ac:dyDescent="0.25">
      <c r="C28" s="35"/>
      <c r="D28" s="5"/>
    </row>
    <row r="30" spans="2:25" x14ac:dyDescent="0.25">
      <c r="B30" s="10"/>
      <c r="D30" s="5" t="s">
        <v>23</v>
      </c>
      <c r="E30" t="s">
        <v>30</v>
      </c>
    </row>
    <row r="31" spans="2:25" x14ac:dyDescent="0.25">
      <c r="B31" s="10"/>
      <c r="D31" s="5"/>
      <c r="F31" s="55" t="s">
        <v>29</v>
      </c>
    </row>
    <row r="32" spans="2:25" x14ac:dyDescent="0.25">
      <c r="B32" s="10"/>
      <c r="D32" s="5"/>
      <c r="E32" s="10">
        <v>1.35</v>
      </c>
      <c r="F32" s="10">
        <v>0.04</v>
      </c>
    </row>
    <row r="33" spans="2:38" x14ac:dyDescent="0.25">
      <c r="C33" s="51"/>
      <c r="D33" s="11"/>
      <c r="E33" s="11"/>
      <c r="F33" s="11"/>
    </row>
    <row r="34" spans="2:38" x14ac:dyDescent="0.25">
      <c r="B34" t="s">
        <v>25</v>
      </c>
      <c r="C34">
        <v>300</v>
      </c>
      <c r="D34" s="5">
        <f>13500*C34</f>
        <v>4050000</v>
      </c>
      <c r="E34" s="11">
        <f>D34*$E$32</f>
        <v>5467500</v>
      </c>
      <c r="F34" s="11">
        <f>E34*F35</f>
        <v>273375</v>
      </c>
    </row>
    <row r="35" spans="2:38" x14ac:dyDescent="0.25">
      <c r="E35" s="37"/>
      <c r="F35" s="53">
        <v>0.05</v>
      </c>
      <c r="G35" s="37"/>
      <c r="H35" s="37"/>
    </row>
    <row r="36" spans="2:38" x14ac:dyDescent="0.25">
      <c r="C36" t="s">
        <v>27</v>
      </c>
      <c r="D36" s="11">
        <f>D33+D34</f>
        <v>4050000</v>
      </c>
      <c r="E36" s="52">
        <f>E33+E34</f>
        <v>5467500</v>
      </c>
      <c r="F36" s="52">
        <f>F33+F34</f>
        <v>273375</v>
      </c>
      <c r="H36" s="37"/>
    </row>
    <row r="37" spans="2:38" x14ac:dyDescent="0.25">
      <c r="AA37" s="38"/>
      <c r="AB37" s="38"/>
      <c r="AC37" s="38"/>
      <c r="AD37" s="38"/>
      <c r="AE37" s="39"/>
      <c r="AF37" s="39"/>
      <c r="AG37" s="56"/>
      <c r="AH37" s="39"/>
      <c r="AI37" s="39"/>
      <c r="AJ37" s="39"/>
      <c r="AK37" s="39"/>
      <c r="AL37" s="56"/>
    </row>
    <row r="38" spans="2:38" x14ac:dyDescent="0.25">
      <c r="C38" t="s">
        <v>28</v>
      </c>
      <c r="D38" s="11">
        <f>D23-D36</f>
        <v>1417500</v>
      </c>
      <c r="G38" s="11">
        <f>D38-F36</f>
        <v>1144125</v>
      </c>
      <c r="AA38" s="38"/>
      <c r="AB38" s="38"/>
      <c r="AC38" s="38"/>
      <c r="AD38" s="39"/>
      <c r="AE38" s="39"/>
      <c r="AF38" s="39"/>
      <c r="AG38" s="56"/>
      <c r="AH38" s="38"/>
      <c r="AI38" s="38"/>
      <c r="AJ38" s="39"/>
      <c r="AK38" s="39"/>
      <c r="AL38" s="56"/>
    </row>
    <row r="39" spans="2:38" x14ac:dyDescent="0.25">
      <c r="G39" s="54">
        <f>F36/D38</f>
        <v>0.19285714285714287</v>
      </c>
      <c r="AA39" s="57"/>
      <c r="AB39" s="38"/>
      <c r="AC39" s="38"/>
      <c r="AD39" s="38"/>
      <c r="AE39" s="58"/>
      <c r="AF39" s="58"/>
      <c r="AG39" s="56"/>
      <c r="AH39" s="59"/>
      <c r="AI39" s="59"/>
      <c r="AJ39" s="58"/>
      <c r="AK39" s="58"/>
      <c r="AL39" s="56"/>
    </row>
    <row r="40" spans="2:38" x14ac:dyDescent="0.25">
      <c r="AA40" s="60"/>
      <c r="AB40" s="61"/>
      <c r="AC40" s="62"/>
      <c r="AD40" s="62"/>
      <c r="AE40" s="40"/>
      <c r="AF40" s="40"/>
      <c r="AG40" s="40"/>
      <c r="AH40" s="40"/>
      <c r="AI40" s="40"/>
      <c r="AJ40" s="40"/>
      <c r="AK40" s="40"/>
      <c r="AL40" s="40"/>
    </row>
    <row r="42" spans="2:38" x14ac:dyDescent="0.25">
      <c r="AG42" s="11"/>
      <c r="AL42" s="11"/>
    </row>
    <row r="46" spans="2:38" x14ac:dyDescent="0.25">
      <c r="D46" s="11"/>
      <c r="E46" s="11"/>
      <c r="F46" s="11"/>
      <c r="AE46" s="38"/>
      <c r="AF46" s="38"/>
    </row>
    <row r="47" spans="2:38" x14ac:dyDescent="0.25">
      <c r="D47" s="11"/>
      <c r="E47" s="11"/>
      <c r="F47" s="11"/>
      <c r="AE47" s="62"/>
      <c r="AF47" s="62"/>
    </row>
    <row r="48" spans="2:38" x14ac:dyDescent="0.25">
      <c r="D48" s="11"/>
      <c r="E48" s="11"/>
      <c r="F48" s="11"/>
      <c r="AF48" s="11"/>
    </row>
    <row r="49" spans="4:32" x14ac:dyDescent="0.25">
      <c r="D49" s="11"/>
      <c r="E49" s="11"/>
      <c r="F49" s="11"/>
      <c r="AF49" s="11"/>
    </row>
  </sheetData>
  <mergeCells count="9">
    <mergeCell ref="C3:C6"/>
    <mergeCell ref="J25:K25"/>
    <mergeCell ref="L25:M25"/>
    <mergeCell ref="J27:K27"/>
    <mergeCell ref="L27:M27"/>
    <mergeCell ref="L23:M23"/>
    <mergeCell ref="L24:M24"/>
    <mergeCell ref="J23:K23"/>
    <mergeCell ref="J24:K24"/>
  </mergeCells>
  <pageMargins left="0.7" right="0.7" top="0.78749999999999998" bottom="0.78749999999999998" header="0.511811023622047" footer="0.511811023622047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4E237-DE25-4E16-A57D-295ED97A5658}">
  <dimension ref="A27:AI210"/>
  <sheetViews>
    <sheetView zoomScale="55" zoomScaleNormal="55" workbookViewId="0">
      <selection activeCell="L47" sqref="L47"/>
    </sheetView>
  </sheetViews>
  <sheetFormatPr defaultRowHeight="15" x14ac:dyDescent="0.25"/>
  <cols>
    <col min="1" max="1" width="16.7109375" style="76" customWidth="1"/>
    <col min="2" max="2" width="7" style="76" customWidth="1"/>
    <col min="3" max="3" width="19" style="76" customWidth="1"/>
    <col min="4" max="4" width="3.28515625" style="76" customWidth="1"/>
    <col min="5" max="5" width="12.7109375" style="76" customWidth="1"/>
    <col min="6" max="6" width="13.28515625" style="76" customWidth="1"/>
    <col min="7" max="9" width="14" style="76" customWidth="1"/>
    <col min="10" max="10" width="14.42578125" style="76" customWidth="1"/>
    <col min="11" max="11" width="13.42578125" style="76" customWidth="1"/>
    <col min="12" max="12" width="13.42578125" style="76" bestFit="1" customWidth="1"/>
    <col min="13" max="13" width="12.5703125" style="76" bestFit="1" customWidth="1"/>
    <col min="14" max="14" width="11.42578125" style="76" bestFit="1" customWidth="1"/>
    <col min="15" max="15" width="12.85546875" style="76" customWidth="1"/>
    <col min="16" max="16" width="12.42578125" style="76" customWidth="1"/>
    <col min="17" max="17" width="13" style="76" customWidth="1"/>
    <col min="18" max="20" width="11.28515625" style="76" bestFit="1" customWidth="1"/>
    <col min="21" max="21" width="9.140625" style="76"/>
    <col min="22" max="22" width="6" style="76" bestFit="1" customWidth="1"/>
    <col min="23" max="23" width="12.42578125" style="76" bestFit="1" customWidth="1"/>
    <col min="24" max="24" width="13.42578125" style="76" bestFit="1" customWidth="1"/>
    <col min="25" max="25" width="14.5703125" style="76" bestFit="1" customWidth="1"/>
    <col min="26" max="26" width="15.7109375" style="76" bestFit="1" customWidth="1"/>
    <col min="27" max="27" width="13" style="76" bestFit="1" customWidth="1"/>
    <col min="28" max="29" width="9.140625" style="76"/>
    <col min="30" max="30" width="5.5703125" style="76" bestFit="1" customWidth="1"/>
    <col min="31" max="31" width="13" style="76" customWidth="1"/>
    <col min="32" max="32" width="12.28515625" style="76" bestFit="1" customWidth="1"/>
    <col min="33" max="33" width="13" style="76" bestFit="1" customWidth="1"/>
    <col min="34" max="34" width="15.85546875" style="76" customWidth="1"/>
    <col min="35" max="35" width="12.7109375" style="76" bestFit="1" customWidth="1"/>
    <col min="36" max="16384" width="9.140625" style="76"/>
  </cols>
  <sheetData>
    <row r="27" spans="1:34" x14ac:dyDescent="0.25">
      <c r="V27" s="129" t="s">
        <v>42</v>
      </c>
      <c r="W27" s="130"/>
      <c r="X27" s="130"/>
      <c r="Y27" s="130"/>
      <c r="Z27" s="131"/>
      <c r="AD27" s="129" t="s">
        <v>32</v>
      </c>
      <c r="AE27" s="130"/>
      <c r="AF27" s="130"/>
      <c r="AG27" s="130"/>
      <c r="AH27" s="131"/>
    </row>
    <row r="28" spans="1:34" x14ac:dyDescent="0.25">
      <c r="V28" s="132"/>
      <c r="W28" s="133"/>
      <c r="X28" s="133"/>
      <c r="Y28" s="133"/>
      <c r="Z28" s="134"/>
      <c r="AD28" s="132"/>
      <c r="AE28" s="133"/>
      <c r="AF28" s="133"/>
      <c r="AG28" s="133"/>
      <c r="AH28" s="134"/>
    </row>
    <row r="29" spans="1:34" ht="15.75" thickBot="1" x14ac:dyDescent="0.3"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</row>
    <row r="30" spans="1:34" ht="15" customHeight="1" thickBot="1" x14ac:dyDescent="0.3">
      <c r="A30" s="135"/>
      <c r="E30" s="78">
        <v>1</v>
      </c>
      <c r="F30" s="78">
        <v>2</v>
      </c>
      <c r="G30" s="78">
        <v>3</v>
      </c>
      <c r="H30" s="78">
        <v>4</v>
      </c>
      <c r="I30" s="78">
        <v>5</v>
      </c>
      <c r="J30" s="78">
        <v>6</v>
      </c>
      <c r="K30" s="78">
        <v>7</v>
      </c>
      <c r="L30" s="78">
        <v>8</v>
      </c>
      <c r="M30" s="78">
        <v>9</v>
      </c>
      <c r="N30" s="78">
        <v>10</v>
      </c>
      <c r="O30" s="78">
        <v>11</v>
      </c>
      <c r="P30" s="78">
        <v>12</v>
      </c>
      <c r="Q30" s="78">
        <v>13</v>
      </c>
      <c r="R30" s="78">
        <v>14</v>
      </c>
      <c r="S30" s="79">
        <v>15</v>
      </c>
      <c r="V30" s="63" t="s">
        <v>33</v>
      </c>
      <c r="W30" s="64" t="s">
        <v>34</v>
      </c>
      <c r="X30" s="64" t="s">
        <v>35</v>
      </c>
      <c r="Y30" s="64" t="s">
        <v>36</v>
      </c>
      <c r="Z30" s="65" t="s">
        <v>37</v>
      </c>
      <c r="AD30" s="63" t="s">
        <v>33</v>
      </c>
      <c r="AE30" s="64" t="s">
        <v>34</v>
      </c>
      <c r="AF30" s="64" t="s">
        <v>35</v>
      </c>
      <c r="AG30" s="64" t="s">
        <v>36</v>
      </c>
      <c r="AH30" s="65" t="s">
        <v>37</v>
      </c>
    </row>
    <row r="31" spans="1:34" x14ac:dyDescent="0.25">
      <c r="A31" s="135"/>
      <c r="B31" s="80"/>
      <c r="C31" s="81"/>
      <c r="E31" s="78">
        <v>2027</v>
      </c>
      <c r="F31" s="78">
        <v>2028</v>
      </c>
      <c r="G31" s="78">
        <v>2029</v>
      </c>
      <c r="H31" s="78">
        <v>2030</v>
      </c>
      <c r="I31" s="78">
        <v>2031</v>
      </c>
      <c r="J31" s="78">
        <v>2032</v>
      </c>
      <c r="K31" s="78">
        <v>2033</v>
      </c>
      <c r="L31" s="78">
        <v>2034</v>
      </c>
      <c r="M31" s="78">
        <v>2034</v>
      </c>
      <c r="N31" s="78">
        <v>2034</v>
      </c>
      <c r="O31" s="78">
        <v>2034</v>
      </c>
      <c r="P31" s="78">
        <v>2034</v>
      </c>
      <c r="Q31" s="78">
        <v>2034</v>
      </c>
      <c r="R31" s="78">
        <v>2034</v>
      </c>
      <c r="S31" s="79">
        <v>2034</v>
      </c>
      <c r="V31" s="63">
        <v>1</v>
      </c>
      <c r="W31" s="73">
        <v>40547.519999999997</v>
      </c>
      <c r="X31" s="73">
        <v>27337.5</v>
      </c>
      <c r="Y31" s="73">
        <v>13210.02</v>
      </c>
      <c r="Z31" s="74">
        <v>4360789.9800000004</v>
      </c>
      <c r="AD31" s="63">
        <v>1</v>
      </c>
      <c r="AE31" s="73">
        <v>50689.04</v>
      </c>
      <c r="AF31" s="73">
        <v>34175</v>
      </c>
      <c r="AG31" s="73">
        <v>16514.04</v>
      </c>
      <c r="AH31" s="74">
        <v>5451485.96</v>
      </c>
    </row>
    <row r="32" spans="1:34" x14ac:dyDescent="0.25">
      <c r="C32" s="82" t="s">
        <v>43</v>
      </c>
      <c r="D32" s="83"/>
      <c r="E32" s="84">
        <f>AI42</f>
        <v>5262875.5999999996</v>
      </c>
      <c r="F32" s="84">
        <f>AI54</f>
        <v>5041826.8499999996</v>
      </c>
      <c r="G32" s="84">
        <f>AI66</f>
        <v>4803617.5199999996</v>
      </c>
      <c r="H32" s="84">
        <f>AI78</f>
        <v>4546915.38</v>
      </c>
      <c r="I32" s="84">
        <f>AI90</f>
        <v>4270284.78</v>
      </c>
      <c r="J32" s="84">
        <f>AI102</f>
        <v>3972178.63</v>
      </c>
      <c r="K32" s="84">
        <f>AI114</f>
        <v>3650929.73</v>
      </c>
      <c r="L32" s="84">
        <f>AI126</f>
        <v>3304741.44</v>
      </c>
      <c r="M32" s="84">
        <f>AI138</f>
        <v>2931677.65</v>
      </c>
      <c r="N32" s="84">
        <f>AI150</f>
        <v>2529651.96</v>
      </c>
      <c r="O32" s="84">
        <f>AI162</f>
        <v>2096415.96</v>
      </c>
      <c r="P32" s="84">
        <f>AI174</f>
        <v>1629546.72</v>
      </c>
      <c r="Q32" s="84">
        <f>AI186</f>
        <v>1126433.22</v>
      </c>
      <c r="R32" s="84">
        <f>AI198</f>
        <v>584261.69999999995</v>
      </c>
      <c r="S32" s="84">
        <f>AI206</f>
        <v>0</v>
      </c>
      <c r="V32" s="66">
        <v>2</v>
      </c>
      <c r="W32" s="67">
        <v>40547.519999999997</v>
      </c>
      <c r="X32" s="67">
        <v>27254.94</v>
      </c>
      <c r="Y32" s="67">
        <v>13292.58</v>
      </c>
      <c r="Z32" s="68">
        <v>4347497.4000000004</v>
      </c>
      <c r="AD32" s="66">
        <v>2</v>
      </c>
      <c r="AE32" s="67">
        <v>50689.04</v>
      </c>
      <c r="AF32" s="67">
        <v>34071.79</v>
      </c>
      <c r="AG32" s="67">
        <v>16617.25</v>
      </c>
      <c r="AH32" s="68">
        <v>5434868.7199999997</v>
      </c>
    </row>
    <row r="33" spans="1:35" x14ac:dyDescent="0.25">
      <c r="B33" s="85">
        <v>5.0000000000000001E-3</v>
      </c>
      <c r="C33" s="86" t="s">
        <v>44</v>
      </c>
      <c r="E33" s="87">
        <f>E32*B33</f>
        <v>26314.377999999997</v>
      </c>
      <c r="F33" s="84">
        <f>$E$33*F30</f>
        <v>52628.755999999994</v>
      </c>
      <c r="G33" s="84">
        <f t="shared" ref="G33:S33" si="0">$E$33*G30</f>
        <v>78943.133999999991</v>
      </c>
      <c r="H33" s="84">
        <f t="shared" si="0"/>
        <v>105257.51199999999</v>
      </c>
      <c r="I33" s="84">
        <f t="shared" si="0"/>
        <v>131571.88999999998</v>
      </c>
      <c r="J33" s="84">
        <f t="shared" si="0"/>
        <v>157886.26799999998</v>
      </c>
      <c r="K33" s="84">
        <f t="shared" si="0"/>
        <v>184200.64599999998</v>
      </c>
      <c r="L33" s="84">
        <f t="shared" si="0"/>
        <v>210515.02399999998</v>
      </c>
      <c r="M33" s="84">
        <f t="shared" si="0"/>
        <v>236829.40199999997</v>
      </c>
      <c r="N33" s="84">
        <f t="shared" si="0"/>
        <v>263143.77999999997</v>
      </c>
      <c r="O33" s="84">
        <f t="shared" si="0"/>
        <v>289458.15799999994</v>
      </c>
      <c r="P33" s="84">
        <f t="shared" si="0"/>
        <v>315772.53599999996</v>
      </c>
      <c r="Q33" s="84">
        <f t="shared" si="0"/>
        <v>342086.91399999999</v>
      </c>
      <c r="R33" s="84">
        <f t="shared" si="0"/>
        <v>368401.29199999996</v>
      </c>
      <c r="S33" s="84">
        <f t="shared" si="0"/>
        <v>394715.66999999993</v>
      </c>
      <c r="T33" s="88"/>
      <c r="V33" s="66">
        <v>3</v>
      </c>
      <c r="W33" s="67">
        <v>40547.519999999997</v>
      </c>
      <c r="X33" s="67">
        <v>27171.86</v>
      </c>
      <c r="Y33" s="67">
        <v>13375.66</v>
      </c>
      <c r="Z33" s="68">
        <v>4334121.7300000004</v>
      </c>
      <c r="AD33" s="66">
        <v>3</v>
      </c>
      <c r="AE33" s="67">
        <v>50689.04</v>
      </c>
      <c r="AF33" s="67">
        <v>33967.93</v>
      </c>
      <c r="AG33" s="67">
        <v>16721.11</v>
      </c>
      <c r="AH33" s="68">
        <v>5418147.6100000003</v>
      </c>
    </row>
    <row r="34" spans="1:35" x14ac:dyDescent="0.25">
      <c r="B34" s="88"/>
      <c r="C34" s="89" t="s">
        <v>45</v>
      </c>
      <c r="D34" s="90"/>
      <c r="E34" s="91">
        <f>E32+E33</f>
        <v>5289189.9779999992</v>
      </c>
      <c r="F34" s="91">
        <f t="shared" ref="F34:R34" si="1">F32+F33</f>
        <v>5094455.6059999997</v>
      </c>
      <c r="G34" s="91">
        <f t="shared" si="1"/>
        <v>4882560.6539999992</v>
      </c>
      <c r="H34" s="91">
        <f t="shared" si="1"/>
        <v>4652172.892</v>
      </c>
      <c r="I34" s="91">
        <f t="shared" si="1"/>
        <v>4401856.67</v>
      </c>
      <c r="J34" s="91">
        <f t="shared" si="1"/>
        <v>4130064.898</v>
      </c>
      <c r="K34" s="91">
        <f t="shared" si="1"/>
        <v>3835130.3760000002</v>
      </c>
      <c r="L34" s="91">
        <f t="shared" si="1"/>
        <v>3515256.4639999997</v>
      </c>
      <c r="M34" s="91">
        <f t="shared" si="1"/>
        <v>3168507.0519999997</v>
      </c>
      <c r="N34" s="91">
        <f t="shared" si="1"/>
        <v>2792795.7399999998</v>
      </c>
      <c r="O34" s="91">
        <f t="shared" si="1"/>
        <v>2385874.1179999998</v>
      </c>
      <c r="P34" s="91">
        <f t="shared" si="1"/>
        <v>1945319.2560000001</v>
      </c>
      <c r="Q34" s="91">
        <f t="shared" si="1"/>
        <v>1468520.1340000001</v>
      </c>
      <c r="R34" s="91">
        <f t="shared" si="1"/>
        <v>952662.99199999985</v>
      </c>
      <c r="S34" s="91">
        <v>1</v>
      </c>
      <c r="V34" s="66">
        <v>4</v>
      </c>
      <c r="W34" s="67">
        <v>40547.519999999997</v>
      </c>
      <c r="X34" s="67">
        <v>27088.26</v>
      </c>
      <c r="Y34" s="67">
        <v>13459.26</v>
      </c>
      <c r="Z34" s="68">
        <v>4320662.47</v>
      </c>
      <c r="AD34" s="66">
        <v>4</v>
      </c>
      <c r="AE34" s="67">
        <v>50689.04</v>
      </c>
      <c r="AF34" s="67">
        <v>33863.42</v>
      </c>
      <c r="AG34" s="67">
        <v>16825.61</v>
      </c>
      <c r="AH34" s="68">
        <v>5401322</v>
      </c>
    </row>
    <row r="35" spans="1:35" x14ac:dyDescent="0.25">
      <c r="A35" s="88"/>
      <c r="B35" s="81"/>
      <c r="C35" s="92" t="s">
        <v>38</v>
      </c>
      <c r="D35" s="93"/>
      <c r="E35" s="94">
        <f>AA42</f>
        <v>4209915.4800000004</v>
      </c>
      <c r="F35" s="94">
        <f>AA54</f>
        <v>4033092.66</v>
      </c>
      <c r="G35" s="94">
        <f>AA66</f>
        <v>3842542.62</v>
      </c>
      <c r="H35" s="94">
        <f>AA78</f>
        <v>3637199.68</v>
      </c>
      <c r="I35" s="94">
        <f>AA90</f>
        <v>3415915.44</v>
      </c>
      <c r="J35" s="94">
        <f>AA102</f>
        <v>3177452.33</v>
      </c>
      <c r="K35" s="94">
        <f>AA114</f>
        <v>2920476.71</v>
      </c>
      <c r="L35" s="94">
        <f>AA126</f>
        <v>2643551.4</v>
      </c>
      <c r="M35" s="94">
        <f>AA138</f>
        <v>2345127.66</v>
      </c>
      <c r="N35" s="94">
        <f>AA150</f>
        <v>2023536.51</v>
      </c>
      <c r="O35" s="94">
        <f>AA162</f>
        <v>1676979.41</v>
      </c>
      <c r="P35" s="94">
        <f>AA174</f>
        <v>1303518.17</v>
      </c>
      <c r="Q35" s="94">
        <f>AA186</f>
        <v>901064.17</v>
      </c>
      <c r="R35" s="94">
        <f>AA198</f>
        <v>467366.62</v>
      </c>
      <c r="S35" s="94">
        <f>AA206</f>
        <v>0</v>
      </c>
      <c r="T35" s="88"/>
      <c r="V35" s="66">
        <v>5</v>
      </c>
      <c r="W35" s="67">
        <v>40547.519999999997</v>
      </c>
      <c r="X35" s="67">
        <v>27004.14</v>
      </c>
      <c r="Y35" s="67">
        <v>13543.38</v>
      </c>
      <c r="Z35" s="68">
        <v>4307119.09</v>
      </c>
      <c r="AD35" s="66">
        <v>5</v>
      </c>
      <c r="AE35" s="67">
        <v>50689.04</v>
      </c>
      <c r="AF35" s="67">
        <v>33758.26</v>
      </c>
      <c r="AG35" s="67">
        <v>16930.77</v>
      </c>
      <c r="AH35" s="68">
        <v>5384391.2199999997</v>
      </c>
    </row>
    <row r="36" spans="1:35" x14ac:dyDescent="0.25">
      <c r="B36" s="88"/>
      <c r="C36" s="95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88"/>
      <c r="V36" s="66">
        <v>6</v>
      </c>
      <c r="W36" s="67">
        <v>40547.519999999997</v>
      </c>
      <c r="X36" s="67">
        <v>26919.49</v>
      </c>
      <c r="Y36" s="67">
        <v>13628.03</v>
      </c>
      <c r="Z36" s="68">
        <v>4293491.07</v>
      </c>
      <c r="AD36" s="66">
        <v>6</v>
      </c>
      <c r="AE36" s="67">
        <v>50689.04</v>
      </c>
      <c r="AF36" s="67">
        <v>33652.449999999997</v>
      </c>
      <c r="AG36" s="67">
        <v>17036.59</v>
      </c>
      <c r="AH36" s="68">
        <v>5367354.63</v>
      </c>
    </row>
    <row r="37" spans="1:35" x14ac:dyDescent="0.25">
      <c r="C37" s="97" t="s">
        <v>39</v>
      </c>
      <c r="E37" s="84">
        <f t="shared" ref="E37:S37" si="2">E34-E35</f>
        <v>1079274.4979999987</v>
      </c>
      <c r="F37" s="84">
        <f t="shared" si="2"/>
        <v>1061362.9459999995</v>
      </c>
      <c r="G37" s="84">
        <f t="shared" si="2"/>
        <v>1040018.0339999991</v>
      </c>
      <c r="H37" s="84">
        <f t="shared" si="2"/>
        <v>1014973.2119999998</v>
      </c>
      <c r="I37" s="84">
        <f t="shared" si="2"/>
        <v>985941.23</v>
      </c>
      <c r="J37" s="84">
        <f t="shared" si="2"/>
        <v>952612.56799999997</v>
      </c>
      <c r="K37" s="84">
        <f t="shared" si="2"/>
        <v>914653.6660000002</v>
      </c>
      <c r="L37" s="84">
        <f t="shared" si="2"/>
        <v>871705.06399999978</v>
      </c>
      <c r="M37" s="84">
        <f t="shared" si="2"/>
        <v>823379.39199999953</v>
      </c>
      <c r="N37" s="84">
        <f t="shared" si="2"/>
        <v>769259.22999999975</v>
      </c>
      <c r="O37" s="84">
        <f t="shared" si="2"/>
        <v>708894.70799999987</v>
      </c>
      <c r="P37" s="84">
        <f t="shared" si="2"/>
        <v>641801.08600000013</v>
      </c>
      <c r="Q37" s="84">
        <f t="shared" si="2"/>
        <v>567455.96400000004</v>
      </c>
      <c r="R37" s="84">
        <f t="shared" si="2"/>
        <v>485296.37199999986</v>
      </c>
      <c r="S37" s="84">
        <f t="shared" si="2"/>
        <v>1</v>
      </c>
      <c r="T37" s="88"/>
      <c r="V37" s="66">
        <v>7</v>
      </c>
      <c r="W37" s="67">
        <v>40547.519999999997</v>
      </c>
      <c r="X37" s="67">
        <v>26834.32</v>
      </c>
      <c r="Y37" s="67">
        <v>13713.2</v>
      </c>
      <c r="Z37" s="68">
        <v>4279777.87</v>
      </c>
      <c r="AD37" s="66">
        <v>7</v>
      </c>
      <c r="AE37" s="67">
        <v>50689.04</v>
      </c>
      <c r="AF37" s="67">
        <v>33545.97</v>
      </c>
      <c r="AG37" s="67">
        <v>17143.07</v>
      </c>
      <c r="AH37" s="68">
        <v>5350211.5599999996</v>
      </c>
    </row>
    <row r="38" spans="1:35" x14ac:dyDescent="0.25">
      <c r="T38" s="96"/>
      <c r="V38" s="66">
        <v>8</v>
      </c>
      <c r="W38" s="67">
        <v>40547.519999999997</v>
      </c>
      <c r="X38" s="67">
        <v>26748.61</v>
      </c>
      <c r="Y38" s="67">
        <v>13798.91</v>
      </c>
      <c r="Z38" s="68">
        <v>4265978.96</v>
      </c>
      <c r="AD38" s="66">
        <v>8</v>
      </c>
      <c r="AE38" s="67">
        <v>50689.04</v>
      </c>
      <c r="AF38" s="67">
        <v>33438.82</v>
      </c>
      <c r="AG38" s="67">
        <v>17250.21</v>
      </c>
      <c r="AH38" s="68">
        <v>5332961.3499999996</v>
      </c>
    </row>
    <row r="39" spans="1:35" x14ac:dyDescent="0.25">
      <c r="C39" s="95" t="s">
        <v>46</v>
      </c>
      <c r="E39" s="88">
        <f t="shared" ref="E39:S39" si="3">E35*$B$40</f>
        <v>210495.77400000003</v>
      </c>
      <c r="F39" s="88">
        <f t="shared" si="3"/>
        <v>201654.63300000003</v>
      </c>
      <c r="G39" s="88">
        <f t="shared" si="3"/>
        <v>192127.13100000002</v>
      </c>
      <c r="H39" s="88">
        <f t="shared" si="3"/>
        <v>181859.98400000003</v>
      </c>
      <c r="I39" s="88">
        <f t="shared" si="3"/>
        <v>170795.772</v>
      </c>
      <c r="J39" s="88">
        <f t="shared" si="3"/>
        <v>158872.6165</v>
      </c>
      <c r="K39" s="88">
        <f t="shared" si="3"/>
        <v>146023.83550000002</v>
      </c>
      <c r="L39" s="88">
        <f t="shared" si="3"/>
        <v>132177.57</v>
      </c>
      <c r="M39" s="88">
        <f t="shared" si="3"/>
        <v>117256.38300000002</v>
      </c>
      <c r="N39" s="88">
        <f t="shared" si="3"/>
        <v>101176.82550000001</v>
      </c>
      <c r="O39" s="88">
        <f t="shared" si="3"/>
        <v>83848.970499999996</v>
      </c>
      <c r="P39" s="88">
        <f t="shared" si="3"/>
        <v>65175.908499999998</v>
      </c>
      <c r="Q39" s="88">
        <f t="shared" si="3"/>
        <v>45053.208500000008</v>
      </c>
      <c r="R39" s="88">
        <f t="shared" si="3"/>
        <v>23368.331000000002</v>
      </c>
      <c r="S39" s="88">
        <f t="shared" si="3"/>
        <v>0</v>
      </c>
      <c r="V39" s="66">
        <v>9</v>
      </c>
      <c r="W39" s="67">
        <v>40547.519999999997</v>
      </c>
      <c r="X39" s="67">
        <v>26662.37</v>
      </c>
      <c r="Y39" s="67">
        <v>13885.15</v>
      </c>
      <c r="Z39" s="68">
        <v>4252093.8099999996</v>
      </c>
      <c r="AD39" s="66">
        <v>9</v>
      </c>
      <c r="AE39" s="67">
        <v>50689.04</v>
      </c>
      <c r="AF39" s="67">
        <v>33331.01</v>
      </c>
      <c r="AG39" s="67">
        <v>17358.03</v>
      </c>
      <c r="AH39" s="68">
        <v>5315603.32</v>
      </c>
    </row>
    <row r="40" spans="1:35" x14ac:dyDescent="0.25">
      <c r="B40" s="80">
        <v>0.05</v>
      </c>
      <c r="V40" s="66">
        <v>10</v>
      </c>
      <c r="W40" s="67">
        <v>40547.519999999997</v>
      </c>
      <c r="X40" s="67">
        <v>26575.59</v>
      </c>
      <c r="Y40" s="67">
        <v>13971.93</v>
      </c>
      <c r="Z40" s="68">
        <v>4238121.87</v>
      </c>
      <c r="AD40" s="66">
        <v>10</v>
      </c>
      <c r="AE40" s="67">
        <v>50689.04</v>
      </c>
      <c r="AF40" s="67">
        <v>33222.519999999997</v>
      </c>
      <c r="AG40" s="67">
        <v>17466.52</v>
      </c>
      <c r="AH40" s="68">
        <v>5298136.8099999996</v>
      </c>
    </row>
    <row r="41" spans="1:35" x14ac:dyDescent="0.25">
      <c r="C41" s="98" t="s">
        <v>47</v>
      </c>
      <c r="D41" s="98"/>
      <c r="E41" s="99">
        <f t="shared" ref="E41:S41" si="4">E37-E39</f>
        <v>868778.72399999877</v>
      </c>
      <c r="F41" s="99">
        <f t="shared" si="4"/>
        <v>859708.3129999995</v>
      </c>
      <c r="G41" s="99">
        <f t="shared" si="4"/>
        <v>847890.902999999</v>
      </c>
      <c r="H41" s="99">
        <f t="shared" si="4"/>
        <v>833113.22799999977</v>
      </c>
      <c r="I41" s="99">
        <f t="shared" si="4"/>
        <v>815145.45799999998</v>
      </c>
      <c r="J41" s="99">
        <f t="shared" si="4"/>
        <v>793739.95149999997</v>
      </c>
      <c r="K41" s="99">
        <f t="shared" si="4"/>
        <v>768629.83050000016</v>
      </c>
      <c r="L41" s="99">
        <f t="shared" si="4"/>
        <v>739527.49399999972</v>
      </c>
      <c r="M41" s="99">
        <f t="shared" si="4"/>
        <v>706123.0089999995</v>
      </c>
      <c r="N41" s="99">
        <f t="shared" si="4"/>
        <v>668082.40449999971</v>
      </c>
      <c r="O41" s="99">
        <f t="shared" si="4"/>
        <v>625045.73749999981</v>
      </c>
      <c r="P41" s="99">
        <f t="shared" si="4"/>
        <v>576625.17750000011</v>
      </c>
      <c r="Q41" s="99">
        <f t="shared" si="4"/>
        <v>522402.75550000003</v>
      </c>
      <c r="R41" s="99">
        <f t="shared" si="4"/>
        <v>461928.04099999985</v>
      </c>
      <c r="S41" s="99">
        <f t="shared" si="4"/>
        <v>1</v>
      </c>
      <c r="V41" s="66">
        <v>11</v>
      </c>
      <c r="W41" s="67">
        <v>40547.519999999997</v>
      </c>
      <c r="X41" s="67">
        <v>26488.26</v>
      </c>
      <c r="Y41" s="67">
        <v>14059.26</v>
      </c>
      <c r="Z41" s="68">
        <v>4224062.6100000003</v>
      </c>
      <c r="AD41" s="66">
        <v>11</v>
      </c>
      <c r="AE41" s="67">
        <v>50689.04</v>
      </c>
      <c r="AF41" s="67">
        <v>33113.360000000001</v>
      </c>
      <c r="AG41" s="67">
        <v>17575.68</v>
      </c>
      <c r="AH41" s="68">
        <v>5280561.13</v>
      </c>
    </row>
    <row r="42" spans="1:35" x14ac:dyDescent="0.25">
      <c r="V42" s="66">
        <v>12</v>
      </c>
      <c r="W42" s="67">
        <v>40547.519999999997</v>
      </c>
      <c r="X42" s="67">
        <v>26400.39</v>
      </c>
      <c r="Y42" s="67">
        <v>14147.13</v>
      </c>
      <c r="Z42" s="68">
        <v>4209915.4800000004</v>
      </c>
      <c r="AA42" s="100">
        <f>Z42</f>
        <v>4209915.4800000004</v>
      </c>
      <c r="AD42" s="66">
        <v>12</v>
      </c>
      <c r="AE42" s="67">
        <v>50689.04</v>
      </c>
      <c r="AF42" s="67">
        <v>33003.51</v>
      </c>
      <c r="AG42" s="67">
        <v>17685.53</v>
      </c>
      <c r="AH42" s="68">
        <v>5262875.5999999996</v>
      </c>
      <c r="AI42" s="100">
        <f>AH42</f>
        <v>5262875.5999999996</v>
      </c>
    </row>
    <row r="43" spans="1:35" x14ac:dyDescent="0.25">
      <c r="T43" s="88"/>
      <c r="V43" s="66">
        <v>13</v>
      </c>
      <c r="W43" s="67">
        <v>40547.519999999997</v>
      </c>
      <c r="X43" s="67">
        <v>26311.97</v>
      </c>
      <c r="Y43" s="67">
        <v>14235.55</v>
      </c>
      <c r="Z43" s="68">
        <v>4195679.93</v>
      </c>
      <c r="AD43" s="66">
        <v>13</v>
      </c>
      <c r="AE43" s="67">
        <v>50689.04</v>
      </c>
      <c r="AF43" s="67">
        <v>32892.97</v>
      </c>
      <c r="AG43" s="67">
        <v>17796.060000000001</v>
      </c>
      <c r="AH43" s="68">
        <v>5245079.53</v>
      </c>
    </row>
    <row r="44" spans="1:35" x14ac:dyDescent="0.25">
      <c r="T44" s="88"/>
      <c r="V44" s="66">
        <v>14</v>
      </c>
      <c r="W44" s="67">
        <v>40547.519999999997</v>
      </c>
      <c r="X44" s="67">
        <v>26223</v>
      </c>
      <c r="Y44" s="67">
        <v>14324.52</v>
      </c>
      <c r="Z44" s="68">
        <v>4181355.41</v>
      </c>
      <c r="AD44" s="66">
        <v>14</v>
      </c>
      <c r="AE44" s="67">
        <v>50689.04</v>
      </c>
      <c r="AF44" s="67">
        <v>32781.75</v>
      </c>
      <c r="AG44" s="67">
        <v>17907.29</v>
      </c>
      <c r="AH44" s="68">
        <v>5227172.24</v>
      </c>
    </row>
    <row r="45" spans="1:35" x14ac:dyDescent="0.25">
      <c r="V45" s="66">
        <v>15</v>
      </c>
      <c r="W45" s="67">
        <v>40547.519999999997</v>
      </c>
      <c r="X45" s="67">
        <v>26133.47</v>
      </c>
      <c r="Y45" s="67">
        <v>14414.05</v>
      </c>
      <c r="Z45" s="68">
        <v>4166941.36</v>
      </c>
      <c r="AD45" s="66">
        <v>15</v>
      </c>
      <c r="AE45" s="67">
        <v>50689.04</v>
      </c>
      <c r="AF45" s="67">
        <v>32669.83</v>
      </c>
      <c r="AG45" s="67">
        <v>18019.21</v>
      </c>
      <c r="AH45" s="68">
        <v>5209153.04</v>
      </c>
    </row>
    <row r="46" spans="1:35" x14ac:dyDescent="0.25">
      <c r="V46" s="66">
        <v>16</v>
      </c>
      <c r="W46" s="67">
        <v>40547.519999999997</v>
      </c>
      <c r="X46" s="67">
        <v>26043.38</v>
      </c>
      <c r="Y46" s="67">
        <v>14504.14</v>
      </c>
      <c r="Z46" s="68">
        <v>4152437.23</v>
      </c>
      <c r="AD46" s="66">
        <v>16</v>
      </c>
      <c r="AE46" s="67">
        <v>50689.04</v>
      </c>
      <c r="AF46" s="67">
        <v>32557.21</v>
      </c>
      <c r="AG46" s="67">
        <v>18131.830000000002</v>
      </c>
      <c r="AH46" s="68">
        <v>5191021.21</v>
      </c>
    </row>
    <row r="47" spans="1:35" x14ac:dyDescent="0.25">
      <c r="V47" s="66">
        <v>17</v>
      </c>
      <c r="W47" s="67">
        <v>40547.519999999997</v>
      </c>
      <c r="X47" s="67">
        <v>25952.73</v>
      </c>
      <c r="Y47" s="67">
        <v>14594.79</v>
      </c>
      <c r="Z47" s="68">
        <v>4137842.44</v>
      </c>
      <c r="AD47" s="66">
        <v>17</v>
      </c>
      <c r="AE47" s="67">
        <v>50689.04</v>
      </c>
      <c r="AF47" s="67">
        <v>32443.88</v>
      </c>
      <c r="AG47" s="67">
        <v>18245.150000000001</v>
      </c>
      <c r="AH47" s="68">
        <v>5172776.05</v>
      </c>
    </row>
    <row r="48" spans="1:35" x14ac:dyDescent="0.25">
      <c r="V48" s="66">
        <v>18</v>
      </c>
      <c r="W48" s="67">
        <v>40547.519999999997</v>
      </c>
      <c r="X48" s="67">
        <v>25861.52</v>
      </c>
      <c r="Y48" s="67">
        <v>14686.01</v>
      </c>
      <c r="Z48" s="68">
        <v>4123156.43</v>
      </c>
      <c r="AD48" s="66">
        <v>18</v>
      </c>
      <c r="AE48" s="67">
        <v>50689.04</v>
      </c>
      <c r="AF48" s="67">
        <v>32329.85</v>
      </c>
      <c r="AG48" s="67">
        <v>18359.189999999999</v>
      </c>
      <c r="AH48" s="68">
        <v>5154416.87</v>
      </c>
    </row>
    <row r="49" spans="5:35" x14ac:dyDescent="0.25">
      <c r="V49" s="66">
        <v>19</v>
      </c>
      <c r="W49" s="67">
        <v>40547.519999999997</v>
      </c>
      <c r="X49" s="67">
        <v>25769.73</v>
      </c>
      <c r="Y49" s="67">
        <v>14777.79</v>
      </c>
      <c r="Z49" s="68">
        <v>4108378.64</v>
      </c>
      <c r="AD49" s="66">
        <v>19</v>
      </c>
      <c r="AE49" s="67">
        <v>50689.04</v>
      </c>
      <c r="AF49" s="67">
        <v>32215.11</v>
      </c>
      <c r="AG49" s="67">
        <v>18473.93</v>
      </c>
      <c r="AH49" s="68">
        <v>5135942.9400000004</v>
      </c>
    </row>
    <row r="50" spans="5:35" x14ac:dyDescent="0.25">
      <c r="V50" s="66">
        <v>20</v>
      </c>
      <c r="W50" s="67">
        <v>40547.519999999997</v>
      </c>
      <c r="X50" s="67">
        <v>25677.37</v>
      </c>
      <c r="Y50" s="67">
        <v>14870.15</v>
      </c>
      <c r="Z50" s="68">
        <v>4093508.49</v>
      </c>
      <c r="AD50" s="66">
        <v>20</v>
      </c>
      <c r="AE50" s="67">
        <v>50689.04</v>
      </c>
      <c r="AF50" s="67">
        <v>32099.64</v>
      </c>
      <c r="AG50" s="67">
        <v>18589.39</v>
      </c>
      <c r="AH50" s="68">
        <v>5117353.54</v>
      </c>
    </row>
    <row r="51" spans="5:35" x14ac:dyDescent="0.25">
      <c r="V51" s="66">
        <v>21</v>
      </c>
      <c r="W51" s="67">
        <v>40547.519999999997</v>
      </c>
      <c r="X51" s="67">
        <v>25584.43</v>
      </c>
      <c r="Y51" s="67">
        <v>14963.09</v>
      </c>
      <c r="Z51" s="68">
        <v>4078545.39</v>
      </c>
      <c r="AD51" s="66">
        <v>21</v>
      </c>
      <c r="AE51" s="67">
        <v>50689.04</v>
      </c>
      <c r="AF51" s="67">
        <v>31983.46</v>
      </c>
      <c r="AG51" s="67">
        <v>18705.580000000002</v>
      </c>
      <c r="AH51" s="68">
        <v>5098647.97</v>
      </c>
    </row>
    <row r="52" spans="5:35" x14ac:dyDescent="0.25">
      <c r="F52" s="10">
        <v>1</v>
      </c>
      <c r="G52" t="s">
        <v>15</v>
      </c>
      <c r="H52" s="5">
        <v>5467500</v>
      </c>
      <c r="J52" s="76" t="s">
        <v>48</v>
      </c>
      <c r="V52" s="66">
        <v>22</v>
      </c>
      <c r="W52" s="67">
        <v>40547.519999999997</v>
      </c>
      <c r="X52" s="67">
        <v>25490.91</v>
      </c>
      <c r="Y52" s="67">
        <v>15056.61</v>
      </c>
      <c r="Z52" s="68">
        <v>4063488.78</v>
      </c>
      <c r="AD52" s="66">
        <v>22</v>
      </c>
      <c r="AE52" s="67">
        <v>50689.04</v>
      </c>
      <c r="AF52" s="67">
        <v>31866.55</v>
      </c>
      <c r="AG52" s="67">
        <v>18822.490000000002</v>
      </c>
      <c r="AH52" s="68">
        <v>5079825.4800000004</v>
      </c>
    </row>
    <row r="53" spans="5:35" x14ac:dyDescent="0.25">
      <c r="F53" s="41">
        <v>0.2</v>
      </c>
      <c r="G53" s="42" t="s">
        <v>16</v>
      </c>
      <c r="H53" s="43">
        <v>1093500</v>
      </c>
      <c r="V53" s="66">
        <v>23</v>
      </c>
      <c r="W53" s="67">
        <v>40547.519999999997</v>
      </c>
      <c r="X53" s="67">
        <v>25396.799999999999</v>
      </c>
      <c r="Y53" s="67">
        <v>15150.72</v>
      </c>
      <c r="Z53" s="68">
        <v>4048338.07</v>
      </c>
      <c r="AD53" s="66">
        <v>23</v>
      </c>
      <c r="AE53" s="67">
        <v>50689.04</v>
      </c>
      <c r="AF53" s="67">
        <v>31748.91</v>
      </c>
      <c r="AG53" s="67">
        <v>18940.13</v>
      </c>
      <c r="AH53" s="68">
        <v>5060885.3600000003</v>
      </c>
    </row>
    <row r="54" spans="5:35" x14ac:dyDescent="0.25">
      <c r="F54" s="44">
        <v>0.8</v>
      </c>
      <c r="G54" s="45" t="s">
        <v>17</v>
      </c>
      <c r="H54" s="46">
        <v>4374000</v>
      </c>
      <c r="V54" s="66">
        <v>24</v>
      </c>
      <c r="W54" s="67">
        <v>40547.519999999997</v>
      </c>
      <c r="X54" s="67">
        <v>25302.11</v>
      </c>
      <c r="Y54" s="67">
        <v>15245.41</v>
      </c>
      <c r="Z54" s="68">
        <v>4033092.66</v>
      </c>
      <c r="AA54" s="100">
        <f>Z54</f>
        <v>4033092.66</v>
      </c>
      <c r="AD54" s="66">
        <v>24</v>
      </c>
      <c r="AE54" s="67">
        <v>50689.04</v>
      </c>
      <c r="AF54" s="67">
        <v>31630.53</v>
      </c>
      <c r="AG54" s="67">
        <v>19058.5</v>
      </c>
      <c r="AH54" s="68">
        <v>5041826.8499999996</v>
      </c>
      <c r="AI54" s="100">
        <f>AH54</f>
        <v>5041826.8499999996</v>
      </c>
    </row>
    <row r="55" spans="5:35" x14ac:dyDescent="0.25">
      <c r="V55" s="66">
        <v>25</v>
      </c>
      <c r="W55" s="67">
        <v>40547.519999999997</v>
      </c>
      <c r="X55" s="67">
        <v>25206.83</v>
      </c>
      <c r="Y55" s="67">
        <v>15340.69</v>
      </c>
      <c r="Z55" s="68">
        <v>4017751.97</v>
      </c>
      <c r="AD55" s="66">
        <v>25</v>
      </c>
      <c r="AE55" s="67">
        <v>50689.04</v>
      </c>
      <c r="AF55" s="67">
        <v>31511.42</v>
      </c>
      <c r="AG55" s="67">
        <v>19177.62</v>
      </c>
      <c r="AH55" s="68">
        <v>5022649.2300000004</v>
      </c>
    </row>
    <row r="56" spans="5:35" x14ac:dyDescent="0.25">
      <c r="V56" s="66">
        <v>26</v>
      </c>
      <c r="W56" s="67">
        <v>40547.519999999997</v>
      </c>
      <c r="X56" s="67">
        <v>25110.95</v>
      </c>
      <c r="Y56" s="67">
        <v>15436.57</v>
      </c>
      <c r="Z56" s="68">
        <v>4002315.4</v>
      </c>
      <c r="AD56" s="66">
        <v>26</v>
      </c>
      <c r="AE56" s="67">
        <v>50689.04</v>
      </c>
      <c r="AF56" s="67">
        <v>31391.56</v>
      </c>
      <c r="AG56" s="67">
        <v>19297.48</v>
      </c>
      <c r="AH56" s="68">
        <v>5003351.76</v>
      </c>
    </row>
    <row r="57" spans="5:35" x14ac:dyDescent="0.25">
      <c r="V57" s="66">
        <v>27</v>
      </c>
      <c r="W57" s="67">
        <v>40547.519999999997</v>
      </c>
      <c r="X57" s="67">
        <v>25014.47</v>
      </c>
      <c r="Y57" s="67">
        <v>15533.05</v>
      </c>
      <c r="Z57" s="68">
        <v>3986782.35</v>
      </c>
      <c r="AD57" s="66">
        <v>27</v>
      </c>
      <c r="AE57" s="67">
        <v>50689.04</v>
      </c>
      <c r="AF57" s="67">
        <v>31270.95</v>
      </c>
      <c r="AG57" s="67">
        <v>19418.09</v>
      </c>
      <c r="AH57" s="68">
        <v>4983933.67</v>
      </c>
    </row>
    <row r="58" spans="5:35" x14ac:dyDescent="0.25">
      <c r="V58" s="66">
        <v>28</v>
      </c>
      <c r="W58" s="67">
        <v>40547.519999999997</v>
      </c>
      <c r="X58" s="67">
        <v>24917.39</v>
      </c>
      <c r="Y58" s="67">
        <v>15630.13</v>
      </c>
      <c r="Z58" s="68">
        <v>3971152.22</v>
      </c>
      <c r="AD58" s="66">
        <v>28</v>
      </c>
      <c r="AE58" s="67">
        <v>50689.04</v>
      </c>
      <c r="AF58" s="67">
        <v>31149.59</v>
      </c>
      <c r="AG58" s="67">
        <v>19539.45</v>
      </c>
      <c r="AH58" s="68">
        <v>4964394.22</v>
      </c>
    </row>
    <row r="59" spans="5:35" x14ac:dyDescent="0.25">
      <c r="V59" s="66">
        <v>29</v>
      </c>
      <c r="W59" s="67">
        <v>40547.519999999997</v>
      </c>
      <c r="X59" s="67">
        <v>24819.7</v>
      </c>
      <c r="Y59" s="67">
        <v>15727.82</v>
      </c>
      <c r="Z59" s="68">
        <v>3955424.4</v>
      </c>
      <c r="AD59" s="66">
        <v>29</v>
      </c>
      <c r="AE59" s="67">
        <v>50689.04</v>
      </c>
      <c r="AF59" s="67">
        <v>31027.46</v>
      </c>
      <c r="AG59" s="67">
        <v>19661.57</v>
      </c>
      <c r="AH59" s="68">
        <v>4944732.6500000004</v>
      </c>
    </row>
    <row r="60" spans="5:35" x14ac:dyDescent="0.25">
      <c r="E60" s="136" t="s">
        <v>41</v>
      </c>
      <c r="F60" s="136">
        <v>1</v>
      </c>
      <c r="G60" s="136">
        <v>2</v>
      </c>
      <c r="H60" s="136">
        <v>3</v>
      </c>
      <c r="I60" s="136">
        <v>4</v>
      </c>
      <c r="J60" s="136">
        <v>5</v>
      </c>
      <c r="V60" s="66">
        <v>30</v>
      </c>
      <c r="W60" s="67">
        <v>40547.519999999997</v>
      </c>
      <c r="X60" s="67">
        <v>24721.4</v>
      </c>
      <c r="Y60" s="67">
        <v>15826.12</v>
      </c>
      <c r="Z60" s="68">
        <v>3939598.28</v>
      </c>
      <c r="AD60" s="66">
        <v>30</v>
      </c>
      <c r="AE60" s="67">
        <v>50689.04</v>
      </c>
      <c r="AF60" s="67">
        <v>30904.58</v>
      </c>
      <c r="AG60" s="67">
        <v>19784.46</v>
      </c>
      <c r="AH60" s="68">
        <v>4924948.1900000004</v>
      </c>
    </row>
    <row r="61" spans="5:35" x14ac:dyDescent="0.25">
      <c r="E61" s="136"/>
      <c r="F61" s="136"/>
      <c r="G61" s="136"/>
      <c r="H61" s="136"/>
      <c r="I61" s="136"/>
      <c r="J61" s="136"/>
      <c r="V61" s="66">
        <v>31</v>
      </c>
      <c r="W61" s="67">
        <v>40547.519999999997</v>
      </c>
      <c r="X61" s="67">
        <v>24622.49</v>
      </c>
      <c r="Y61" s="67">
        <v>15925.03</v>
      </c>
      <c r="Z61" s="68">
        <v>3923673.25</v>
      </c>
      <c r="AD61" s="66">
        <v>31</v>
      </c>
      <c r="AE61" s="67">
        <v>50689.04</v>
      </c>
      <c r="AF61" s="67">
        <v>30780.93</v>
      </c>
      <c r="AG61" s="67">
        <v>19908.11</v>
      </c>
      <c r="AH61" s="68">
        <v>4905040.08</v>
      </c>
    </row>
    <row r="62" spans="5:35" x14ac:dyDescent="0.25">
      <c r="E62" s="137" t="s">
        <v>40</v>
      </c>
      <c r="F62" s="127">
        <f>E34</f>
        <v>5289189.9779999992</v>
      </c>
      <c r="G62" s="127">
        <f>F34</f>
        <v>5094455.6059999997</v>
      </c>
      <c r="H62" s="127">
        <f>G34</f>
        <v>4882560.6539999992</v>
      </c>
      <c r="I62" s="127">
        <f>H34</f>
        <v>4652172.892</v>
      </c>
      <c r="J62" s="127">
        <f>I34</f>
        <v>4401856.67</v>
      </c>
      <c r="V62" s="66">
        <v>32</v>
      </c>
      <c r="W62" s="67">
        <v>40547.519999999997</v>
      </c>
      <c r="X62" s="67">
        <v>24522.959999999999</v>
      </c>
      <c r="Y62" s="67">
        <v>16024.56</v>
      </c>
      <c r="Z62" s="68">
        <v>3907648.68</v>
      </c>
      <c r="AD62" s="66">
        <v>32</v>
      </c>
      <c r="AE62" s="67">
        <v>50689.04</v>
      </c>
      <c r="AF62" s="67">
        <v>30656.5</v>
      </c>
      <c r="AG62" s="67">
        <v>20032.54</v>
      </c>
      <c r="AH62" s="68">
        <v>4885007.55</v>
      </c>
    </row>
    <row r="63" spans="5:35" x14ac:dyDescent="0.25">
      <c r="E63" s="137"/>
      <c r="F63" s="128"/>
      <c r="G63" s="128"/>
      <c r="H63" s="128"/>
      <c r="I63" s="128"/>
      <c r="J63" s="128"/>
      <c r="V63" s="66">
        <v>33</v>
      </c>
      <c r="W63" s="67">
        <v>40547.519999999997</v>
      </c>
      <c r="X63" s="67">
        <v>24422.799999999999</v>
      </c>
      <c r="Y63" s="67">
        <v>16124.72</v>
      </c>
      <c r="Z63" s="68">
        <v>3891523.97</v>
      </c>
      <c r="AD63" s="66">
        <v>33</v>
      </c>
      <c r="AE63" s="67">
        <v>50689.04</v>
      </c>
      <c r="AF63" s="67">
        <v>30531.3</v>
      </c>
      <c r="AG63" s="67">
        <v>20157.740000000002</v>
      </c>
      <c r="AH63" s="68">
        <v>4864849.8099999996</v>
      </c>
    </row>
    <row r="64" spans="5:35" x14ac:dyDescent="0.25">
      <c r="E64" s="136" t="s">
        <v>41</v>
      </c>
      <c r="F64" s="136">
        <v>6</v>
      </c>
      <c r="G64" s="136">
        <v>7</v>
      </c>
      <c r="H64" s="136">
        <v>8</v>
      </c>
      <c r="I64" s="136">
        <v>9</v>
      </c>
      <c r="J64" s="136">
        <v>10</v>
      </c>
      <c r="V64" s="66">
        <v>34</v>
      </c>
      <c r="W64" s="67">
        <v>40547.519999999997</v>
      </c>
      <c r="X64" s="67">
        <v>24322.02</v>
      </c>
      <c r="Y64" s="67">
        <v>16225.5</v>
      </c>
      <c r="Z64" s="68">
        <v>3875298.47</v>
      </c>
      <c r="AD64" s="66">
        <v>34</v>
      </c>
      <c r="AE64" s="67">
        <v>50689.04</v>
      </c>
      <c r="AF64" s="67">
        <v>30405.31</v>
      </c>
      <c r="AG64" s="67">
        <v>20283.72</v>
      </c>
      <c r="AH64" s="68">
        <v>4844566.08</v>
      </c>
    </row>
    <row r="65" spans="5:35" x14ac:dyDescent="0.25">
      <c r="E65" s="136"/>
      <c r="F65" s="136"/>
      <c r="G65" s="136"/>
      <c r="H65" s="136"/>
      <c r="I65" s="136"/>
      <c r="J65" s="136"/>
      <c r="V65" s="66">
        <v>35</v>
      </c>
      <c r="W65" s="67">
        <v>40547.519999999997</v>
      </c>
      <c r="X65" s="67">
        <v>24220.62</v>
      </c>
      <c r="Y65" s="67">
        <v>16326.91</v>
      </c>
      <c r="Z65" s="68">
        <v>3858971.57</v>
      </c>
      <c r="AD65" s="66">
        <v>35</v>
      </c>
      <c r="AE65" s="67">
        <v>50689.04</v>
      </c>
      <c r="AF65" s="67">
        <v>30278.54</v>
      </c>
      <c r="AG65" s="67">
        <v>20410.5</v>
      </c>
      <c r="AH65" s="68">
        <v>4824155.58</v>
      </c>
    </row>
    <row r="66" spans="5:35" x14ac:dyDescent="0.25">
      <c r="E66" s="137" t="s">
        <v>40</v>
      </c>
      <c r="F66" s="127">
        <f>J34</f>
        <v>4130064.898</v>
      </c>
      <c r="G66" s="127">
        <f>K34</f>
        <v>3835130.3760000002</v>
      </c>
      <c r="H66" s="127">
        <f>L34</f>
        <v>3515256.4639999997</v>
      </c>
      <c r="I66" s="127">
        <f>M34</f>
        <v>3168507.0519999997</v>
      </c>
      <c r="J66" s="127">
        <f>N34</f>
        <v>2792795.7399999998</v>
      </c>
      <c r="V66" s="66">
        <v>36</v>
      </c>
      <c r="W66" s="67">
        <v>40547.519999999997</v>
      </c>
      <c r="X66" s="67">
        <v>24118.57</v>
      </c>
      <c r="Y66" s="67">
        <v>16428.95</v>
      </c>
      <c r="Z66" s="68">
        <v>3842542.62</v>
      </c>
      <c r="AA66" s="100">
        <f>Z66</f>
        <v>3842542.62</v>
      </c>
      <c r="AD66" s="66">
        <v>36</v>
      </c>
      <c r="AE66" s="67">
        <v>50689.04</v>
      </c>
      <c r="AF66" s="67">
        <v>30150.97</v>
      </c>
      <c r="AG66" s="67">
        <v>20538.060000000001</v>
      </c>
      <c r="AH66" s="68">
        <v>4803617.5199999996</v>
      </c>
      <c r="AI66" s="100">
        <f>AH66</f>
        <v>4803617.5199999996</v>
      </c>
    </row>
    <row r="67" spans="5:35" x14ac:dyDescent="0.25">
      <c r="E67" s="137"/>
      <c r="F67" s="128"/>
      <c r="G67" s="128"/>
      <c r="H67" s="128"/>
      <c r="I67" s="128"/>
      <c r="J67" s="128"/>
      <c r="V67" s="66">
        <v>37</v>
      </c>
      <c r="W67" s="67">
        <v>40547.519999999997</v>
      </c>
      <c r="X67" s="67">
        <v>24015.89</v>
      </c>
      <c r="Y67" s="67">
        <v>16531.63</v>
      </c>
      <c r="Z67" s="68">
        <v>3826010.99</v>
      </c>
      <c r="AD67" s="66">
        <v>37</v>
      </c>
      <c r="AE67" s="67">
        <v>50689.04</v>
      </c>
      <c r="AF67" s="67">
        <v>30022.61</v>
      </c>
      <c r="AG67" s="67">
        <v>20666.43</v>
      </c>
      <c r="AH67" s="68">
        <v>4782951.09</v>
      </c>
    </row>
    <row r="68" spans="5:35" x14ac:dyDescent="0.25">
      <c r="E68" s="136" t="s">
        <v>41</v>
      </c>
      <c r="F68" s="136">
        <v>11</v>
      </c>
      <c r="G68" s="136">
        <v>12</v>
      </c>
      <c r="H68" s="136">
        <v>13</v>
      </c>
      <c r="I68" s="136">
        <v>14</v>
      </c>
      <c r="J68" s="136">
        <v>15</v>
      </c>
      <c r="V68" s="66">
        <v>38</v>
      </c>
      <c r="W68" s="67">
        <v>40547.519999999997</v>
      </c>
      <c r="X68" s="67">
        <v>23912.57</v>
      </c>
      <c r="Y68" s="67">
        <v>16634.95</v>
      </c>
      <c r="Z68" s="68">
        <v>3809376.04</v>
      </c>
      <c r="AD68" s="66">
        <v>38</v>
      </c>
      <c r="AE68" s="67">
        <v>50689.04</v>
      </c>
      <c r="AF68" s="67">
        <v>29893.439999999999</v>
      </c>
      <c r="AG68" s="67">
        <v>20795.59</v>
      </c>
      <c r="AH68" s="68">
        <v>4762155.5</v>
      </c>
    </row>
    <row r="69" spans="5:35" x14ac:dyDescent="0.25">
      <c r="E69" s="136"/>
      <c r="F69" s="136"/>
      <c r="G69" s="136"/>
      <c r="H69" s="136"/>
      <c r="I69" s="136"/>
      <c r="J69" s="136"/>
      <c r="V69" s="66">
        <v>39</v>
      </c>
      <c r="W69" s="67">
        <v>40547.519999999997</v>
      </c>
      <c r="X69" s="67">
        <v>23808.6</v>
      </c>
      <c r="Y69" s="67">
        <v>16738.919999999998</v>
      </c>
      <c r="Z69" s="68">
        <v>3792637.12</v>
      </c>
      <c r="AD69" s="66">
        <v>39</v>
      </c>
      <c r="AE69" s="67">
        <v>50689.04</v>
      </c>
      <c r="AF69" s="67">
        <v>29763.47</v>
      </c>
      <c r="AG69" s="67">
        <v>20925.560000000001</v>
      </c>
      <c r="AH69" s="68">
        <v>4741229.9400000004</v>
      </c>
    </row>
    <row r="70" spans="5:35" x14ac:dyDescent="0.25">
      <c r="E70" s="137" t="s">
        <v>40</v>
      </c>
      <c r="F70" s="127">
        <f>O34</f>
        <v>2385874.1179999998</v>
      </c>
      <c r="G70" s="127">
        <f>P34</f>
        <v>1945319.2560000001</v>
      </c>
      <c r="H70" s="127">
        <f>Q34</f>
        <v>1468520.1340000001</v>
      </c>
      <c r="I70" s="127">
        <f>R34</f>
        <v>952662.99199999985</v>
      </c>
      <c r="J70" s="127">
        <f>S34</f>
        <v>1</v>
      </c>
      <c r="V70" s="66">
        <v>40</v>
      </c>
      <c r="W70" s="67">
        <v>40547.519999999997</v>
      </c>
      <c r="X70" s="67">
        <v>23703.98</v>
      </c>
      <c r="Y70" s="67">
        <v>16843.54</v>
      </c>
      <c r="Z70" s="68">
        <v>3775793.58</v>
      </c>
      <c r="AD70" s="66">
        <v>40</v>
      </c>
      <c r="AE70" s="67">
        <v>50689.04</v>
      </c>
      <c r="AF70" s="67">
        <v>29632.69</v>
      </c>
      <c r="AG70" s="67">
        <v>21056.35</v>
      </c>
      <c r="AH70" s="68">
        <v>4720173.59</v>
      </c>
    </row>
    <row r="71" spans="5:35" x14ac:dyDescent="0.25">
      <c r="E71" s="137"/>
      <c r="F71" s="128"/>
      <c r="G71" s="128"/>
      <c r="H71" s="128"/>
      <c r="I71" s="128"/>
      <c r="J71" s="128"/>
      <c r="V71" s="66">
        <v>41</v>
      </c>
      <c r="W71" s="67">
        <v>40547.519999999997</v>
      </c>
      <c r="X71" s="67">
        <v>23598.71</v>
      </c>
      <c r="Y71" s="67">
        <v>16948.810000000001</v>
      </c>
      <c r="Z71" s="68">
        <v>3758844.77</v>
      </c>
      <c r="AD71" s="66">
        <v>41</v>
      </c>
      <c r="AE71" s="67">
        <v>50689.04</v>
      </c>
      <c r="AF71" s="67">
        <v>29501.08</v>
      </c>
      <c r="AG71" s="67">
        <v>21187.95</v>
      </c>
      <c r="AH71" s="68">
        <v>4698985.6399999997</v>
      </c>
    </row>
    <row r="72" spans="5:35" x14ac:dyDescent="0.25">
      <c r="V72" s="66">
        <v>42</v>
      </c>
      <c r="W72" s="67">
        <v>40547.519999999997</v>
      </c>
      <c r="X72" s="67">
        <v>23492.78</v>
      </c>
      <c r="Y72" s="67">
        <v>17054.740000000002</v>
      </c>
      <c r="Z72" s="68">
        <v>3741790.03</v>
      </c>
      <c r="AD72" s="66">
        <v>42</v>
      </c>
      <c r="AE72" s="67">
        <v>50689.04</v>
      </c>
      <c r="AF72" s="67">
        <v>29368.66</v>
      </c>
      <c r="AG72" s="67">
        <v>21320.38</v>
      </c>
      <c r="AH72" s="68">
        <v>4677665.26</v>
      </c>
    </row>
    <row r="73" spans="5:35" x14ac:dyDescent="0.25">
      <c r="V73" s="66">
        <v>43</v>
      </c>
      <c r="W73" s="67">
        <v>40547.519999999997</v>
      </c>
      <c r="X73" s="67">
        <v>23386.19</v>
      </c>
      <c r="Y73" s="67">
        <v>17161.330000000002</v>
      </c>
      <c r="Z73" s="68">
        <v>3724628.69</v>
      </c>
      <c r="AD73" s="66">
        <v>43</v>
      </c>
      <c r="AE73" s="67">
        <v>50689.04</v>
      </c>
      <c r="AF73" s="67">
        <v>29235.41</v>
      </c>
      <c r="AG73" s="67">
        <v>21453.63</v>
      </c>
      <c r="AH73" s="68">
        <v>4656211.6399999997</v>
      </c>
    </row>
    <row r="74" spans="5:35" x14ac:dyDescent="0.25">
      <c r="V74" s="66">
        <v>44</v>
      </c>
      <c r="W74" s="67">
        <v>40547.519999999997</v>
      </c>
      <c r="X74" s="67">
        <v>23278.93</v>
      </c>
      <c r="Y74" s="67">
        <v>17268.59</v>
      </c>
      <c r="Z74" s="68">
        <v>3707360.1</v>
      </c>
      <c r="AD74" s="66">
        <v>44</v>
      </c>
      <c r="AE74" s="67">
        <v>50689.04</v>
      </c>
      <c r="AF74" s="67">
        <v>29101.32</v>
      </c>
      <c r="AG74" s="67">
        <v>21587.71</v>
      </c>
      <c r="AH74" s="68">
        <v>4634623.92</v>
      </c>
    </row>
    <row r="75" spans="5:35" x14ac:dyDescent="0.25">
      <c r="V75" s="66">
        <v>45</v>
      </c>
      <c r="W75" s="67">
        <v>40547.519999999997</v>
      </c>
      <c r="X75" s="67">
        <v>23171</v>
      </c>
      <c r="Y75" s="67">
        <v>17376.52</v>
      </c>
      <c r="Z75" s="68">
        <v>3689983.58</v>
      </c>
      <c r="AD75" s="66">
        <v>45</v>
      </c>
      <c r="AE75" s="67">
        <v>50689.04</v>
      </c>
      <c r="AF75" s="67">
        <v>28966.400000000001</v>
      </c>
      <c r="AG75" s="67">
        <v>21722.639999999999</v>
      </c>
      <c r="AH75" s="68">
        <v>4612901.29</v>
      </c>
    </row>
    <row r="76" spans="5:35" x14ac:dyDescent="0.25">
      <c r="V76" s="66">
        <v>46</v>
      </c>
      <c r="W76" s="67">
        <v>40547.519999999997</v>
      </c>
      <c r="X76" s="67">
        <v>23062.400000000001</v>
      </c>
      <c r="Y76" s="67">
        <v>17485.12</v>
      </c>
      <c r="Z76" s="68">
        <v>3672498.46</v>
      </c>
      <c r="AD76" s="66">
        <v>46</v>
      </c>
      <c r="AE76" s="67">
        <v>50689.04</v>
      </c>
      <c r="AF76" s="67">
        <v>28830.63</v>
      </c>
      <c r="AG76" s="67">
        <v>21858.400000000001</v>
      </c>
      <c r="AH76" s="68">
        <v>4591042.88</v>
      </c>
    </row>
    <row r="77" spans="5:35" x14ac:dyDescent="0.25">
      <c r="V77" s="66">
        <v>47</v>
      </c>
      <c r="W77" s="67">
        <v>40547.519999999997</v>
      </c>
      <c r="X77" s="67">
        <v>22953.119999999999</v>
      </c>
      <c r="Y77" s="67">
        <v>17594.41</v>
      </c>
      <c r="Z77" s="68">
        <v>3654904.05</v>
      </c>
      <c r="AD77" s="66">
        <v>47</v>
      </c>
      <c r="AE77" s="67">
        <v>50689.04</v>
      </c>
      <c r="AF77" s="67">
        <v>28694.02</v>
      </c>
      <c r="AG77" s="67">
        <v>21995.02</v>
      </c>
      <c r="AH77" s="68">
        <v>4569047.87</v>
      </c>
    </row>
    <row r="78" spans="5:35" x14ac:dyDescent="0.25">
      <c r="V78" s="66">
        <v>48</v>
      </c>
      <c r="W78" s="67">
        <v>40547.519999999997</v>
      </c>
      <c r="X78" s="67">
        <v>22843.15</v>
      </c>
      <c r="Y78" s="67">
        <v>17704.37</v>
      </c>
      <c r="Z78" s="68">
        <v>3637199.68</v>
      </c>
      <c r="AA78" s="100">
        <f>Z78</f>
        <v>3637199.68</v>
      </c>
      <c r="AD78" s="66">
        <v>48</v>
      </c>
      <c r="AE78" s="67">
        <v>50689.04</v>
      </c>
      <c r="AF78" s="67">
        <v>28556.55</v>
      </c>
      <c r="AG78" s="67">
        <v>22132.49</v>
      </c>
      <c r="AH78" s="68">
        <v>4546915.38</v>
      </c>
      <c r="AI78" s="100">
        <f>AH78</f>
        <v>4546915.38</v>
      </c>
    </row>
    <row r="79" spans="5:35" x14ac:dyDescent="0.25">
      <c r="V79" s="66">
        <v>49</v>
      </c>
      <c r="W79" s="67">
        <v>40547.519999999997</v>
      </c>
      <c r="X79" s="67">
        <v>22732.5</v>
      </c>
      <c r="Y79" s="67">
        <v>17815.02</v>
      </c>
      <c r="Z79" s="68">
        <v>3619384.66</v>
      </c>
      <c r="AD79" s="66">
        <v>49</v>
      </c>
      <c r="AE79" s="67">
        <v>50689.04</v>
      </c>
      <c r="AF79" s="67">
        <v>28418.22</v>
      </c>
      <c r="AG79" s="67">
        <v>22270.81</v>
      </c>
      <c r="AH79" s="68">
        <v>4524644.5599999996</v>
      </c>
    </row>
    <row r="80" spans="5:35" x14ac:dyDescent="0.25">
      <c r="V80" s="66">
        <v>50</v>
      </c>
      <c r="W80" s="67">
        <v>40547.519999999997</v>
      </c>
      <c r="X80" s="67">
        <v>22621.15</v>
      </c>
      <c r="Y80" s="67">
        <v>17926.37</v>
      </c>
      <c r="Z80" s="68">
        <v>3601458.29</v>
      </c>
      <c r="AD80" s="66">
        <v>50</v>
      </c>
      <c r="AE80" s="67">
        <v>50689.04</v>
      </c>
      <c r="AF80" s="67">
        <v>28279.03</v>
      </c>
      <c r="AG80" s="67">
        <v>22410.01</v>
      </c>
      <c r="AH80" s="68">
        <v>4502234.5599999996</v>
      </c>
    </row>
    <row r="81" spans="22:35" x14ac:dyDescent="0.25">
      <c r="V81" s="66">
        <v>51</v>
      </c>
      <c r="W81" s="67">
        <v>40547.519999999997</v>
      </c>
      <c r="X81" s="67">
        <v>22509.11</v>
      </c>
      <c r="Y81" s="67">
        <v>18038.41</v>
      </c>
      <c r="Z81" s="68">
        <v>3583419.89</v>
      </c>
      <c r="AD81" s="66">
        <v>51</v>
      </c>
      <c r="AE81" s="67">
        <v>50689.04</v>
      </c>
      <c r="AF81" s="67">
        <v>28138.97</v>
      </c>
      <c r="AG81" s="67">
        <v>22550.07</v>
      </c>
      <c r="AH81" s="68">
        <v>4479684.49</v>
      </c>
    </row>
    <row r="82" spans="22:35" x14ac:dyDescent="0.25">
      <c r="V82" s="66">
        <v>52</v>
      </c>
      <c r="W82" s="67">
        <v>40547.519999999997</v>
      </c>
      <c r="X82" s="67">
        <v>22396.37</v>
      </c>
      <c r="Y82" s="67">
        <v>18151.150000000001</v>
      </c>
      <c r="Z82" s="68">
        <v>3565268.74</v>
      </c>
      <c r="AD82" s="66">
        <v>52</v>
      </c>
      <c r="AE82" s="67">
        <v>50689.04</v>
      </c>
      <c r="AF82" s="67">
        <v>27998.03</v>
      </c>
      <c r="AG82" s="67">
        <v>22691.01</v>
      </c>
      <c r="AH82" s="68">
        <v>4456993.4800000004</v>
      </c>
    </row>
    <row r="83" spans="22:35" x14ac:dyDescent="0.25">
      <c r="V83" s="66">
        <v>53</v>
      </c>
      <c r="W83" s="67">
        <v>40547.519999999997</v>
      </c>
      <c r="X83" s="67">
        <v>22282.93</v>
      </c>
      <c r="Y83" s="67">
        <v>18264.59</v>
      </c>
      <c r="Z83" s="68">
        <v>3547004.15</v>
      </c>
      <c r="AD83" s="66">
        <v>53</v>
      </c>
      <c r="AE83" s="67">
        <v>50689.04</v>
      </c>
      <c r="AF83" s="67">
        <v>27856.21</v>
      </c>
      <c r="AG83" s="67">
        <v>22832.83</v>
      </c>
      <c r="AH83" s="68">
        <v>4434160.6500000004</v>
      </c>
    </row>
    <row r="84" spans="22:35" x14ac:dyDescent="0.25">
      <c r="V84" s="66">
        <v>54</v>
      </c>
      <c r="W84" s="67">
        <v>40547.519999999997</v>
      </c>
      <c r="X84" s="67">
        <v>22168.78</v>
      </c>
      <c r="Y84" s="67">
        <v>18378.740000000002</v>
      </c>
      <c r="Z84" s="68">
        <v>3528625.41</v>
      </c>
      <c r="AD84" s="66">
        <v>54</v>
      </c>
      <c r="AE84" s="67">
        <v>50689.04</v>
      </c>
      <c r="AF84" s="67">
        <v>27713.5</v>
      </c>
      <c r="AG84" s="67">
        <v>22975.53</v>
      </c>
      <c r="AH84" s="68">
        <v>4411185.12</v>
      </c>
    </row>
    <row r="85" spans="22:35" x14ac:dyDescent="0.25">
      <c r="V85" s="66">
        <v>55</v>
      </c>
      <c r="W85" s="67">
        <v>40547.519999999997</v>
      </c>
      <c r="X85" s="67">
        <v>22053.91</v>
      </c>
      <c r="Y85" s="67">
        <v>18493.61</v>
      </c>
      <c r="Z85" s="68">
        <v>3510131.79</v>
      </c>
      <c r="AD85" s="66">
        <v>55</v>
      </c>
      <c r="AE85" s="67">
        <v>50689.04</v>
      </c>
      <c r="AF85" s="67">
        <v>27569.91</v>
      </c>
      <c r="AG85" s="67">
        <v>23119.13</v>
      </c>
      <c r="AH85" s="68">
        <v>4388065.99</v>
      </c>
    </row>
    <row r="86" spans="22:35" x14ac:dyDescent="0.25">
      <c r="V86" s="66">
        <v>56</v>
      </c>
      <c r="W86" s="67">
        <v>40547.519999999997</v>
      </c>
      <c r="X86" s="67">
        <v>21938.32</v>
      </c>
      <c r="Y86" s="67">
        <v>18609.2</v>
      </c>
      <c r="Z86" s="68">
        <v>3491522.6</v>
      </c>
      <c r="AD86" s="66">
        <v>56</v>
      </c>
      <c r="AE86" s="67">
        <v>50689.04</v>
      </c>
      <c r="AF86" s="67">
        <v>27425.41</v>
      </c>
      <c r="AG86" s="67">
        <v>23263.62</v>
      </c>
      <c r="AH86" s="68">
        <v>4364802.37</v>
      </c>
    </row>
    <row r="87" spans="22:35" x14ac:dyDescent="0.25">
      <c r="V87" s="66">
        <v>57</v>
      </c>
      <c r="W87" s="67">
        <v>40547.519999999997</v>
      </c>
      <c r="X87" s="67">
        <v>21822.02</v>
      </c>
      <c r="Y87" s="67">
        <v>18725.5</v>
      </c>
      <c r="Z87" s="68">
        <v>3472797.09</v>
      </c>
      <c r="AD87" s="66">
        <v>57</v>
      </c>
      <c r="AE87" s="67">
        <v>50689.04</v>
      </c>
      <c r="AF87" s="67">
        <v>27280.01</v>
      </c>
      <c r="AG87" s="67">
        <v>23409.02</v>
      </c>
      <c r="AH87" s="68">
        <v>4341393.3499999996</v>
      </c>
    </row>
    <row r="88" spans="22:35" x14ac:dyDescent="0.25">
      <c r="V88" s="66">
        <v>58</v>
      </c>
      <c r="W88" s="67">
        <v>40547.519999999997</v>
      </c>
      <c r="X88" s="67">
        <v>21704.98</v>
      </c>
      <c r="Y88" s="67">
        <v>18842.54</v>
      </c>
      <c r="Z88" s="68">
        <v>3453954.55</v>
      </c>
      <c r="AD88" s="66">
        <v>58</v>
      </c>
      <c r="AE88" s="67">
        <v>50689.04</v>
      </c>
      <c r="AF88" s="67">
        <v>27133.71</v>
      </c>
      <c r="AG88" s="67">
        <v>23555.33</v>
      </c>
      <c r="AH88" s="68">
        <v>4317838.0199999996</v>
      </c>
    </row>
    <row r="89" spans="22:35" x14ac:dyDescent="0.25">
      <c r="V89" s="66">
        <v>59</v>
      </c>
      <c r="W89" s="67">
        <v>40547.519999999997</v>
      </c>
      <c r="X89" s="67">
        <v>21587.22</v>
      </c>
      <c r="Y89" s="67">
        <v>18960.3</v>
      </c>
      <c r="Z89" s="68">
        <v>3434994.25</v>
      </c>
      <c r="AD89" s="66">
        <v>59</v>
      </c>
      <c r="AE89" s="67">
        <v>50689.04</v>
      </c>
      <c r="AF89" s="67">
        <v>26986.49</v>
      </c>
      <c r="AG89" s="67">
        <v>23702.55</v>
      </c>
      <c r="AH89" s="68">
        <v>4294135.47</v>
      </c>
    </row>
    <row r="90" spans="22:35" x14ac:dyDescent="0.25">
      <c r="V90" s="66">
        <v>60</v>
      </c>
      <c r="W90" s="67">
        <v>40547.519999999997</v>
      </c>
      <c r="X90" s="67">
        <v>21468.71</v>
      </c>
      <c r="Y90" s="67">
        <v>19078.810000000001</v>
      </c>
      <c r="Z90" s="68">
        <v>3415915.44</v>
      </c>
      <c r="AA90" s="100">
        <f>Z90</f>
        <v>3415915.44</v>
      </c>
      <c r="AD90" s="66">
        <v>60</v>
      </c>
      <c r="AE90" s="67">
        <v>50689.04</v>
      </c>
      <c r="AF90" s="67">
        <v>26838.35</v>
      </c>
      <c r="AG90" s="67">
        <v>23850.69</v>
      </c>
      <c r="AH90" s="68">
        <v>4270284.78</v>
      </c>
      <c r="AI90" s="100">
        <f>AH90</f>
        <v>4270284.78</v>
      </c>
    </row>
    <row r="91" spans="22:35" x14ac:dyDescent="0.25">
      <c r="V91" s="66">
        <v>61</v>
      </c>
      <c r="W91" s="67">
        <v>40547.519999999997</v>
      </c>
      <c r="X91" s="67">
        <v>21349.47</v>
      </c>
      <c r="Y91" s="67">
        <v>19198.05</v>
      </c>
      <c r="Z91" s="68">
        <v>3396717.39</v>
      </c>
      <c r="AD91" s="66">
        <v>61</v>
      </c>
      <c r="AE91" s="67">
        <v>50689.04</v>
      </c>
      <c r="AF91" s="67">
        <v>26689.279999999999</v>
      </c>
      <c r="AG91" s="67">
        <v>23999.759999999998</v>
      </c>
      <c r="AH91" s="68">
        <v>4246285.03</v>
      </c>
    </row>
    <row r="92" spans="22:35" x14ac:dyDescent="0.25">
      <c r="V92" s="66">
        <v>62</v>
      </c>
      <c r="W92" s="67">
        <v>40547.519999999997</v>
      </c>
      <c r="X92" s="67">
        <v>21229.48</v>
      </c>
      <c r="Y92" s="67">
        <v>19318.04</v>
      </c>
      <c r="Z92" s="68">
        <v>3377399.36</v>
      </c>
      <c r="AD92" s="66">
        <v>62</v>
      </c>
      <c r="AE92" s="67">
        <v>50689.04</v>
      </c>
      <c r="AF92" s="67">
        <v>26539.279999999999</v>
      </c>
      <c r="AG92" s="67">
        <v>24149.75</v>
      </c>
      <c r="AH92" s="68">
        <v>4222135.2699999996</v>
      </c>
    </row>
    <row r="93" spans="22:35" x14ac:dyDescent="0.25">
      <c r="V93" s="66">
        <v>63</v>
      </c>
      <c r="W93" s="67">
        <v>40547.519999999997</v>
      </c>
      <c r="X93" s="67">
        <v>21108.75</v>
      </c>
      <c r="Y93" s="67">
        <v>19438.77</v>
      </c>
      <c r="Z93" s="68">
        <v>3357960.58</v>
      </c>
      <c r="AD93" s="66">
        <v>63</v>
      </c>
      <c r="AE93" s="67">
        <v>50689.04</v>
      </c>
      <c r="AF93" s="67">
        <v>26388.35</v>
      </c>
      <c r="AG93" s="67">
        <v>24300.69</v>
      </c>
      <c r="AH93" s="68">
        <v>4197834.58</v>
      </c>
    </row>
    <row r="94" spans="22:35" x14ac:dyDescent="0.25">
      <c r="V94" s="66">
        <v>64</v>
      </c>
      <c r="W94" s="67">
        <v>40547.519999999997</v>
      </c>
      <c r="X94" s="67">
        <v>20987.25</v>
      </c>
      <c r="Y94" s="67">
        <v>19560.27</v>
      </c>
      <c r="Z94" s="68">
        <v>3338400.32</v>
      </c>
      <c r="AD94" s="66">
        <v>64</v>
      </c>
      <c r="AE94" s="67">
        <v>50689.04</v>
      </c>
      <c r="AF94" s="67">
        <v>26236.47</v>
      </c>
      <c r="AG94" s="67">
        <v>24452.57</v>
      </c>
      <c r="AH94" s="68">
        <v>4173382.01</v>
      </c>
    </row>
    <row r="95" spans="22:35" x14ac:dyDescent="0.25">
      <c r="V95" s="66">
        <v>65</v>
      </c>
      <c r="W95" s="67">
        <v>40547.519999999997</v>
      </c>
      <c r="X95" s="67">
        <v>20865</v>
      </c>
      <c r="Y95" s="67">
        <v>19682.52</v>
      </c>
      <c r="Z95" s="68">
        <v>3318717.8</v>
      </c>
      <c r="AD95" s="66">
        <v>65</v>
      </c>
      <c r="AE95" s="67">
        <v>50689.04</v>
      </c>
      <c r="AF95" s="67">
        <v>26083.64</v>
      </c>
      <c r="AG95" s="67">
        <v>24605.4</v>
      </c>
      <c r="AH95" s="68">
        <v>4148776.61</v>
      </c>
    </row>
    <row r="96" spans="22:35" x14ac:dyDescent="0.25">
      <c r="V96" s="66">
        <v>66</v>
      </c>
      <c r="W96" s="67">
        <v>40547.519999999997</v>
      </c>
      <c r="X96" s="67">
        <v>20741.990000000002</v>
      </c>
      <c r="Y96" s="67">
        <v>19805.53</v>
      </c>
      <c r="Z96" s="68">
        <v>3298912.26</v>
      </c>
      <c r="AD96" s="66">
        <v>66</v>
      </c>
      <c r="AE96" s="67">
        <v>50689.04</v>
      </c>
      <c r="AF96" s="67">
        <v>25929.85</v>
      </c>
      <c r="AG96" s="67">
        <v>24759.18</v>
      </c>
      <c r="AH96" s="68">
        <v>4124017.43</v>
      </c>
    </row>
    <row r="97" spans="22:35" x14ac:dyDescent="0.25">
      <c r="V97" s="66">
        <v>67</v>
      </c>
      <c r="W97" s="67">
        <v>40547.519999999997</v>
      </c>
      <c r="X97" s="67">
        <v>20618.2</v>
      </c>
      <c r="Y97" s="67">
        <v>19929.32</v>
      </c>
      <c r="Z97" s="68">
        <v>3278982.94</v>
      </c>
      <c r="AD97" s="66">
        <v>67</v>
      </c>
      <c r="AE97" s="67">
        <v>50689.04</v>
      </c>
      <c r="AF97" s="67">
        <v>25775.11</v>
      </c>
      <c r="AG97" s="67">
        <v>24913.93</v>
      </c>
      <c r="AH97" s="68">
        <v>4099103.51</v>
      </c>
    </row>
    <row r="98" spans="22:35" x14ac:dyDescent="0.25">
      <c r="V98" s="66">
        <v>68</v>
      </c>
      <c r="W98" s="67">
        <v>40547.519999999997</v>
      </c>
      <c r="X98" s="67">
        <v>20493.64</v>
      </c>
      <c r="Y98" s="67">
        <v>20053.88</v>
      </c>
      <c r="Z98" s="68">
        <v>3258929.07</v>
      </c>
      <c r="AD98" s="66">
        <v>68</v>
      </c>
      <c r="AE98" s="67">
        <v>50689.04</v>
      </c>
      <c r="AF98" s="67">
        <v>25619.4</v>
      </c>
      <c r="AG98" s="67">
        <v>25069.64</v>
      </c>
      <c r="AH98" s="68">
        <v>4074033.87</v>
      </c>
    </row>
    <row r="99" spans="22:35" x14ac:dyDescent="0.25">
      <c r="V99" s="66">
        <v>69</v>
      </c>
      <c r="W99" s="67">
        <v>40547.519999999997</v>
      </c>
      <c r="X99" s="67">
        <v>20368.310000000001</v>
      </c>
      <c r="Y99" s="67">
        <v>20179.21</v>
      </c>
      <c r="Z99" s="68">
        <v>3238749.85</v>
      </c>
      <c r="AD99" s="66">
        <v>69</v>
      </c>
      <c r="AE99" s="67">
        <v>50689.04</v>
      </c>
      <c r="AF99" s="67">
        <v>25462.71</v>
      </c>
      <c r="AG99" s="67">
        <v>25226.32</v>
      </c>
      <c r="AH99" s="68">
        <v>4048807.54</v>
      </c>
    </row>
    <row r="100" spans="22:35" x14ac:dyDescent="0.25">
      <c r="V100" s="66">
        <v>70</v>
      </c>
      <c r="W100" s="67">
        <v>40547.519999999997</v>
      </c>
      <c r="X100" s="67">
        <v>20242.189999999999</v>
      </c>
      <c r="Y100" s="67">
        <v>20305.330000000002</v>
      </c>
      <c r="Z100" s="68">
        <v>3218444.52</v>
      </c>
      <c r="AD100" s="66">
        <v>70</v>
      </c>
      <c r="AE100" s="67">
        <v>50689.04</v>
      </c>
      <c r="AF100" s="67">
        <v>25305.05</v>
      </c>
      <c r="AG100" s="67">
        <v>25383.99</v>
      </c>
      <c r="AH100" s="68">
        <v>4023423.55</v>
      </c>
    </row>
    <row r="101" spans="22:35" x14ac:dyDescent="0.25">
      <c r="V101" s="66">
        <v>71</v>
      </c>
      <c r="W101" s="67">
        <v>40547.519999999997</v>
      </c>
      <c r="X101" s="67">
        <v>20115.28</v>
      </c>
      <c r="Y101" s="67">
        <v>20432.240000000002</v>
      </c>
      <c r="Z101" s="68">
        <v>3198012.28</v>
      </c>
      <c r="AD101" s="66">
        <v>71</v>
      </c>
      <c r="AE101" s="67">
        <v>50689.04</v>
      </c>
      <c r="AF101" s="67">
        <v>25146.400000000001</v>
      </c>
      <c r="AG101" s="67">
        <v>25542.639999999999</v>
      </c>
      <c r="AH101" s="68">
        <v>3997880.91</v>
      </c>
    </row>
    <row r="102" spans="22:35" x14ac:dyDescent="0.25">
      <c r="V102" s="66">
        <v>72</v>
      </c>
      <c r="W102" s="67">
        <v>40547.519999999997</v>
      </c>
      <c r="X102" s="67">
        <v>19987.580000000002</v>
      </c>
      <c r="Y102" s="67">
        <v>20559.939999999999</v>
      </c>
      <c r="Z102" s="68">
        <v>3177452.33</v>
      </c>
      <c r="AA102" s="100">
        <f>Z102</f>
        <v>3177452.33</v>
      </c>
      <c r="AD102" s="66">
        <v>72</v>
      </c>
      <c r="AE102" s="67">
        <v>50689.04</v>
      </c>
      <c r="AF102" s="67">
        <v>24986.76</v>
      </c>
      <c r="AG102" s="67">
        <v>25702.28</v>
      </c>
      <c r="AH102" s="68">
        <v>3972178.63</v>
      </c>
      <c r="AI102" s="100">
        <f>AH102</f>
        <v>3972178.63</v>
      </c>
    </row>
    <row r="103" spans="22:35" x14ac:dyDescent="0.25">
      <c r="V103" s="66">
        <v>73</v>
      </c>
      <c r="W103" s="67">
        <v>40547.519999999997</v>
      </c>
      <c r="X103" s="67">
        <v>19859.080000000002</v>
      </c>
      <c r="Y103" s="67">
        <v>20688.439999999999</v>
      </c>
      <c r="Z103" s="68">
        <v>3156763.89</v>
      </c>
      <c r="AD103" s="66">
        <v>73</v>
      </c>
      <c r="AE103" s="67">
        <v>50689.04</v>
      </c>
      <c r="AF103" s="67">
        <v>24826.12</v>
      </c>
      <c r="AG103" s="67">
        <v>25862.92</v>
      </c>
      <c r="AH103" s="68">
        <v>3946315.72</v>
      </c>
    </row>
    <row r="104" spans="22:35" x14ac:dyDescent="0.25">
      <c r="V104" s="66">
        <v>74</v>
      </c>
      <c r="W104" s="67">
        <v>40547.519999999997</v>
      </c>
      <c r="X104" s="67">
        <v>19729.77</v>
      </c>
      <c r="Y104" s="67">
        <v>20817.75</v>
      </c>
      <c r="Z104" s="68">
        <v>3135946.14</v>
      </c>
      <c r="AD104" s="66">
        <v>74</v>
      </c>
      <c r="AE104" s="67">
        <v>50689.04</v>
      </c>
      <c r="AF104" s="67">
        <v>24664.47</v>
      </c>
      <c r="AG104" s="67">
        <v>26024.560000000001</v>
      </c>
      <c r="AH104" s="68">
        <v>3920291.15</v>
      </c>
    </row>
    <row r="105" spans="22:35" x14ac:dyDescent="0.25">
      <c r="V105" s="66">
        <v>75</v>
      </c>
      <c r="W105" s="67">
        <v>40547.519999999997</v>
      </c>
      <c r="X105" s="67">
        <v>19599.66</v>
      </c>
      <c r="Y105" s="67">
        <v>20947.86</v>
      </c>
      <c r="Z105" s="68">
        <v>3114998.28</v>
      </c>
      <c r="AD105" s="66">
        <v>75</v>
      </c>
      <c r="AE105" s="67">
        <v>50689.04</v>
      </c>
      <c r="AF105" s="67">
        <v>24501.82</v>
      </c>
      <c r="AG105" s="67">
        <v>26187.22</v>
      </c>
      <c r="AH105" s="68">
        <v>3894103.94</v>
      </c>
    </row>
    <row r="106" spans="22:35" x14ac:dyDescent="0.25">
      <c r="V106" s="66">
        <v>76</v>
      </c>
      <c r="W106" s="67">
        <v>40547.519999999997</v>
      </c>
      <c r="X106" s="67">
        <v>19468.740000000002</v>
      </c>
      <c r="Y106" s="67">
        <v>21078.78</v>
      </c>
      <c r="Z106" s="68">
        <v>3093919.5</v>
      </c>
      <c r="AD106" s="66">
        <v>76</v>
      </c>
      <c r="AE106" s="67">
        <v>50689.04</v>
      </c>
      <c r="AF106" s="67">
        <v>24338.15</v>
      </c>
      <c r="AG106" s="67">
        <v>26350.89</v>
      </c>
      <c r="AH106" s="68">
        <v>3867753.05</v>
      </c>
    </row>
    <row r="107" spans="22:35" x14ac:dyDescent="0.25">
      <c r="V107" s="66">
        <v>77</v>
      </c>
      <c r="W107" s="67">
        <v>40547.519999999997</v>
      </c>
      <c r="X107" s="67">
        <v>19337</v>
      </c>
      <c r="Y107" s="67">
        <v>21210.52</v>
      </c>
      <c r="Z107" s="68">
        <v>3072708.98</v>
      </c>
      <c r="AD107" s="66">
        <v>77</v>
      </c>
      <c r="AE107" s="67">
        <v>50689.04</v>
      </c>
      <c r="AF107" s="67">
        <v>24173.46</v>
      </c>
      <c r="AG107" s="67">
        <v>26515.58</v>
      </c>
      <c r="AH107" s="68">
        <v>3841237.47</v>
      </c>
    </row>
    <row r="108" spans="22:35" x14ac:dyDescent="0.25">
      <c r="V108" s="66">
        <v>78</v>
      </c>
      <c r="W108" s="67">
        <v>40547.519999999997</v>
      </c>
      <c r="X108" s="67">
        <v>19204.43</v>
      </c>
      <c r="Y108" s="67">
        <v>21343.09</v>
      </c>
      <c r="Z108" s="68">
        <v>3051365.89</v>
      </c>
      <c r="AD108" s="66">
        <v>78</v>
      </c>
      <c r="AE108" s="67">
        <v>50689.04</v>
      </c>
      <c r="AF108" s="67">
        <v>24007.73</v>
      </c>
      <c r="AG108" s="67">
        <v>26681.3</v>
      </c>
      <c r="AH108" s="68">
        <v>3814556.17</v>
      </c>
    </row>
    <row r="109" spans="22:35" x14ac:dyDescent="0.25">
      <c r="V109" s="66">
        <v>79</v>
      </c>
      <c r="W109" s="67">
        <v>40547.519999999997</v>
      </c>
      <c r="X109" s="67">
        <v>19071.04</v>
      </c>
      <c r="Y109" s="67">
        <v>21476.48</v>
      </c>
      <c r="Z109" s="68">
        <v>3029889.41</v>
      </c>
      <c r="AD109" s="66">
        <v>79</v>
      </c>
      <c r="AE109" s="67">
        <v>50689.04</v>
      </c>
      <c r="AF109" s="67">
        <v>23840.98</v>
      </c>
      <c r="AG109" s="67">
        <v>26848.06</v>
      </c>
      <c r="AH109" s="68">
        <v>3787708.11</v>
      </c>
    </row>
    <row r="110" spans="22:35" x14ac:dyDescent="0.25">
      <c r="V110" s="66">
        <v>80</v>
      </c>
      <c r="W110" s="67">
        <v>40547.519999999997</v>
      </c>
      <c r="X110" s="67">
        <v>18936.810000000001</v>
      </c>
      <c r="Y110" s="67">
        <v>21610.71</v>
      </c>
      <c r="Z110" s="68">
        <v>3008278.69</v>
      </c>
      <c r="AD110" s="66">
        <v>80</v>
      </c>
      <c r="AE110" s="67">
        <v>50689.04</v>
      </c>
      <c r="AF110" s="67">
        <v>23673.18</v>
      </c>
      <c r="AG110" s="67">
        <v>27015.86</v>
      </c>
      <c r="AH110" s="68">
        <v>3760692.25</v>
      </c>
    </row>
    <row r="111" spans="22:35" x14ac:dyDescent="0.25">
      <c r="V111" s="66">
        <v>81</v>
      </c>
      <c r="W111" s="67">
        <v>40547.519999999997</v>
      </c>
      <c r="X111" s="67">
        <v>18801.740000000002</v>
      </c>
      <c r="Y111" s="67">
        <v>21745.78</v>
      </c>
      <c r="Z111" s="68">
        <v>2986532.92</v>
      </c>
      <c r="AD111" s="66">
        <v>81</v>
      </c>
      <c r="AE111" s="67">
        <v>50689.04</v>
      </c>
      <c r="AF111" s="67">
        <v>23504.33</v>
      </c>
      <c r="AG111" s="67">
        <v>27184.71</v>
      </c>
      <c r="AH111" s="68">
        <v>3733507.54</v>
      </c>
    </row>
    <row r="112" spans="22:35" x14ac:dyDescent="0.25">
      <c r="V112" s="66">
        <v>82</v>
      </c>
      <c r="W112" s="67">
        <v>40547.519999999997</v>
      </c>
      <c r="X112" s="67">
        <v>18665.830000000002</v>
      </c>
      <c r="Y112" s="67">
        <v>21881.69</v>
      </c>
      <c r="Z112" s="68">
        <v>2964651.23</v>
      </c>
      <c r="AD112" s="66">
        <v>82</v>
      </c>
      <c r="AE112" s="67">
        <v>50689.04</v>
      </c>
      <c r="AF112" s="67">
        <v>23334.42</v>
      </c>
      <c r="AG112" s="67">
        <v>27354.61</v>
      </c>
      <c r="AH112" s="68">
        <v>3706152.93</v>
      </c>
    </row>
    <row r="113" spans="22:35" x14ac:dyDescent="0.25">
      <c r="V113" s="66">
        <v>83</v>
      </c>
      <c r="W113" s="67">
        <v>40547.519999999997</v>
      </c>
      <c r="X113" s="67">
        <v>18529.07</v>
      </c>
      <c r="Y113" s="67">
        <v>22018.45</v>
      </c>
      <c r="Z113" s="68">
        <v>2942632.77</v>
      </c>
      <c r="AD113" s="66">
        <v>83</v>
      </c>
      <c r="AE113" s="67">
        <v>50689.04</v>
      </c>
      <c r="AF113" s="67">
        <v>23163.46</v>
      </c>
      <c r="AG113" s="67">
        <v>27525.58</v>
      </c>
      <c r="AH113" s="68">
        <v>3678627.35</v>
      </c>
    </row>
    <row r="114" spans="22:35" x14ac:dyDescent="0.25">
      <c r="V114" s="66">
        <v>84</v>
      </c>
      <c r="W114" s="67">
        <v>40547.519999999997</v>
      </c>
      <c r="X114" s="67">
        <v>18391.45</v>
      </c>
      <c r="Y114" s="67">
        <v>22156.07</v>
      </c>
      <c r="Z114" s="68">
        <v>2920476.71</v>
      </c>
      <c r="AA114" s="100">
        <f>Z114</f>
        <v>2920476.71</v>
      </c>
      <c r="AD114" s="66">
        <v>84</v>
      </c>
      <c r="AE114" s="67">
        <v>50689.04</v>
      </c>
      <c r="AF114" s="67">
        <v>22991.42</v>
      </c>
      <c r="AG114" s="67">
        <v>27697.61</v>
      </c>
      <c r="AH114" s="68">
        <v>3650929.73</v>
      </c>
      <c r="AI114" s="100">
        <f>AH114</f>
        <v>3650929.73</v>
      </c>
    </row>
    <row r="115" spans="22:35" x14ac:dyDescent="0.25">
      <c r="V115" s="66">
        <v>85</v>
      </c>
      <c r="W115" s="67">
        <v>40547.519999999997</v>
      </c>
      <c r="X115" s="67">
        <v>18252.98</v>
      </c>
      <c r="Y115" s="67">
        <v>22294.54</v>
      </c>
      <c r="Z115" s="68">
        <v>2898182.17</v>
      </c>
      <c r="AD115" s="66">
        <v>85</v>
      </c>
      <c r="AE115" s="67">
        <v>50689.04</v>
      </c>
      <c r="AF115" s="67">
        <v>22818.31</v>
      </c>
      <c r="AG115" s="67">
        <v>27870.73</v>
      </c>
      <c r="AH115" s="68">
        <v>3623059.01</v>
      </c>
    </row>
    <row r="116" spans="22:35" x14ac:dyDescent="0.25">
      <c r="V116" s="66">
        <v>86</v>
      </c>
      <c r="W116" s="67">
        <v>40547.519999999997</v>
      </c>
      <c r="X116" s="67">
        <v>18113.64</v>
      </c>
      <c r="Y116" s="67">
        <v>22433.88</v>
      </c>
      <c r="Z116" s="68">
        <v>2875748.29</v>
      </c>
      <c r="AD116" s="66">
        <v>86</v>
      </c>
      <c r="AE116" s="67">
        <v>50689.04</v>
      </c>
      <c r="AF116" s="67">
        <v>22644.12</v>
      </c>
      <c r="AG116" s="67">
        <v>28044.92</v>
      </c>
      <c r="AH116" s="68">
        <v>3595014.09</v>
      </c>
    </row>
    <row r="117" spans="22:35" x14ac:dyDescent="0.25">
      <c r="V117" s="66">
        <v>87</v>
      </c>
      <c r="W117" s="67">
        <v>40547.519999999997</v>
      </c>
      <c r="X117" s="67">
        <v>17973.43</v>
      </c>
      <c r="Y117" s="67">
        <v>22574.09</v>
      </c>
      <c r="Z117" s="68">
        <v>2853174.19</v>
      </c>
      <c r="AD117" s="66">
        <v>87</v>
      </c>
      <c r="AE117" s="67">
        <v>50689.04</v>
      </c>
      <c r="AF117" s="67">
        <v>22468.84</v>
      </c>
      <c r="AG117" s="67">
        <v>28220.2</v>
      </c>
      <c r="AH117" s="68">
        <v>3566793.89</v>
      </c>
    </row>
    <row r="118" spans="22:35" x14ac:dyDescent="0.25">
      <c r="V118" s="66">
        <v>88</v>
      </c>
      <c r="W118" s="67">
        <v>40547.519999999997</v>
      </c>
      <c r="X118" s="67">
        <v>17832.34</v>
      </c>
      <c r="Y118" s="67">
        <v>22715.18</v>
      </c>
      <c r="Z118" s="68">
        <v>2830459.01</v>
      </c>
      <c r="AD118" s="66">
        <v>88</v>
      </c>
      <c r="AE118" s="67">
        <v>50689.04</v>
      </c>
      <c r="AF118" s="67">
        <v>22292.46</v>
      </c>
      <c r="AG118" s="67">
        <v>28396.57</v>
      </c>
      <c r="AH118" s="68">
        <v>3538397.32</v>
      </c>
    </row>
    <row r="119" spans="22:35" x14ac:dyDescent="0.25">
      <c r="V119" s="66">
        <v>89</v>
      </c>
      <c r="W119" s="67">
        <v>40547.519999999997</v>
      </c>
      <c r="X119" s="67">
        <v>17690.37</v>
      </c>
      <c r="Y119" s="67">
        <v>22857.15</v>
      </c>
      <c r="Z119" s="68">
        <v>2807601.86</v>
      </c>
      <c r="AD119" s="66">
        <v>89</v>
      </c>
      <c r="AE119" s="67">
        <v>50689.04</v>
      </c>
      <c r="AF119" s="67">
        <v>22114.98</v>
      </c>
      <c r="AG119" s="67">
        <v>28574.05</v>
      </c>
      <c r="AH119" s="68">
        <v>3509823.26</v>
      </c>
    </row>
    <row r="120" spans="22:35" x14ac:dyDescent="0.25">
      <c r="V120" s="66">
        <v>90</v>
      </c>
      <c r="W120" s="67">
        <v>40547.519999999997</v>
      </c>
      <c r="X120" s="67">
        <v>17547.509999999998</v>
      </c>
      <c r="Y120" s="67">
        <v>23000.01</v>
      </c>
      <c r="Z120" s="68">
        <v>2784601.85</v>
      </c>
      <c r="AD120" s="66">
        <v>90</v>
      </c>
      <c r="AE120" s="67">
        <v>50689.04</v>
      </c>
      <c r="AF120" s="67">
        <v>21936.400000000001</v>
      </c>
      <c r="AG120" s="67">
        <v>28752.639999999999</v>
      </c>
      <c r="AH120" s="68">
        <v>3481070.62</v>
      </c>
    </row>
    <row r="121" spans="22:35" x14ac:dyDescent="0.25">
      <c r="V121" s="66">
        <v>91</v>
      </c>
      <c r="W121" s="67">
        <v>40547.519999999997</v>
      </c>
      <c r="X121" s="67">
        <v>17403.759999999998</v>
      </c>
      <c r="Y121" s="67">
        <v>23143.759999999998</v>
      </c>
      <c r="Z121" s="68">
        <v>2761458.09</v>
      </c>
      <c r="AD121" s="66">
        <v>91</v>
      </c>
      <c r="AE121" s="67">
        <v>50689.04</v>
      </c>
      <c r="AF121" s="67">
        <v>21756.69</v>
      </c>
      <c r="AG121" s="67">
        <v>28932.34</v>
      </c>
      <c r="AH121" s="68">
        <v>3452138.28</v>
      </c>
    </row>
    <row r="122" spans="22:35" x14ac:dyDescent="0.25">
      <c r="V122" s="66">
        <v>92</v>
      </c>
      <c r="W122" s="67">
        <v>40547.519999999997</v>
      </c>
      <c r="X122" s="67">
        <v>17259.11</v>
      </c>
      <c r="Y122" s="67">
        <v>23288.41</v>
      </c>
      <c r="Z122" s="68">
        <v>2738169.68</v>
      </c>
      <c r="AD122" s="66">
        <v>92</v>
      </c>
      <c r="AE122" s="67">
        <v>50689.04</v>
      </c>
      <c r="AF122" s="67">
        <v>21575.86</v>
      </c>
      <c r="AG122" s="67">
        <v>29113.17</v>
      </c>
      <c r="AH122" s="68">
        <v>3423025.11</v>
      </c>
    </row>
    <row r="123" spans="22:35" x14ac:dyDescent="0.25">
      <c r="V123" s="66">
        <v>93</v>
      </c>
      <c r="W123" s="67">
        <v>40547.519999999997</v>
      </c>
      <c r="X123" s="67">
        <v>17113.560000000001</v>
      </c>
      <c r="Y123" s="67">
        <v>23433.96</v>
      </c>
      <c r="Z123" s="68">
        <v>2714735.72</v>
      </c>
      <c r="AD123" s="66">
        <v>93</v>
      </c>
      <c r="AE123" s="67">
        <v>50689.04</v>
      </c>
      <c r="AF123" s="67">
        <v>21393.91</v>
      </c>
      <c r="AG123" s="67">
        <v>29295.13</v>
      </c>
      <c r="AH123" s="68">
        <v>3393729.98</v>
      </c>
    </row>
    <row r="124" spans="22:35" x14ac:dyDescent="0.25">
      <c r="V124" s="66">
        <v>94</v>
      </c>
      <c r="W124" s="67">
        <v>40547.519999999997</v>
      </c>
      <c r="X124" s="67">
        <v>16967.099999999999</v>
      </c>
      <c r="Y124" s="67">
        <v>23580.42</v>
      </c>
      <c r="Z124" s="68">
        <v>2691155.3</v>
      </c>
      <c r="AD124" s="66">
        <v>94</v>
      </c>
      <c r="AE124" s="67">
        <v>50689.04</v>
      </c>
      <c r="AF124" s="67">
        <v>21210.81</v>
      </c>
      <c r="AG124" s="67">
        <v>29478.22</v>
      </c>
      <c r="AH124" s="68">
        <v>3364251.76</v>
      </c>
    </row>
    <row r="125" spans="22:35" x14ac:dyDescent="0.25">
      <c r="V125" s="66">
        <v>95</v>
      </c>
      <c r="W125" s="67">
        <v>40547.519999999997</v>
      </c>
      <c r="X125" s="67">
        <v>16819.72</v>
      </c>
      <c r="Y125" s="67">
        <v>23727.8</v>
      </c>
      <c r="Z125" s="68">
        <v>2667427.5</v>
      </c>
      <c r="AD125" s="66">
        <v>95</v>
      </c>
      <c r="AE125" s="67">
        <v>50689.04</v>
      </c>
      <c r="AF125" s="67">
        <v>21026.57</v>
      </c>
      <c r="AG125" s="67">
        <v>29662.46</v>
      </c>
      <c r="AH125" s="68">
        <v>3334589.29</v>
      </c>
    </row>
    <row r="126" spans="22:35" x14ac:dyDescent="0.25">
      <c r="V126" s="66">
        <v>96</v>
      </c>
      <c r="W126" s="67">
        <v>40547.519999999997</v>
      </c>
      <c r="X126" s="67">
        <v>16671.419999999998</v>
      </c>
      <c r="Y126" s="67">
        <v>23876.1</v>
      </c>
      <c r="Z126" s="68">
        <v>2643551.4</v>
      </c>
      <c r="AA126" s="100">
        <f>Z126</f>
        <v>2643551.4</v>
      </c>
      <c r="AD126" s="66">
        <v>96</v>
      </c>
      <c r="AE126" s="67">
        <v>50689.04</v>
      </c>
      <c r="AF126" s="67">
        <v>20841.18</v>
      </c>
      <c r="AG126" s="67">
        <v>29847.85</v>
      </c>
      <c r="AH126" s="68">
        <v>3304741.44</v>
      </c>
      <c r="AI126" s="100">
        <f>AH126</f>
        <v>3304741.44</v>
      </c>
    </row>
    <row r="127" spans="22:35" x14ac:dyDescent="0.25">
      <c r="V127" s="66">
        <v>97</v>
      </c>
      <c r="W127" s="67">
        <v>40547.519999999997</v>
      </c>
      <c r="X127" s="67">
        <v>16522.2</v>
      </c>
      <c r="Y127" s="67">
        <v>24025.32</v>
      </c>
      <c r="Z127" s="68">
        <v>2619526.08</v>
      </c>
      <c r="AD127" s="66">
        <v>97</v>
      </c>
      <c r="AE127" s="67">
        <v>50689.04</v>
      </c>
      <c r="AF127" s="67">
        <v>20654.63</v>
      </c>
      <c r="AG127" s="67">
        <v>30034.400000000001</v>
      </c>
      <c r="AH127" s="68">
        <v>3274707.04</v>
      </c>
    </row>
    <row r="128" spans="22:35" x14ac:dyDescent="0.25">
      <c r="V128" s="66">
        <v>98</v>
      </c>
      <c r="W128" s="67">
        <v>40547.519999999997</v>
      </c>
      <c r="X128" s="67">
        <v>16372.04</v>
      </c>
      <c r="Y128" s="67">
        <v>24175.48</v>
      </c>
      <c r="Z128" s="68">
        <v>2595350.59</v>
      </c>
      <c r="AD128" s="66">
        <v>98</v>
      </c>
      <c r="AE128" s="67">
        <v>50689.04</v>
      </c>
      <c r="AF128" s="67">
        <v>20466.919999999998</v>
      </c>
      <c r="AG128" s="67">
        <v>30222.12</v>
      </c>
      <c r="AH128" s="68">
        <v>3244484.92</v>
      </c>
    </row>
    <row r="129" spans="22:35" x14ac:dyDescent="0.25">
      <c r="V129" s="66">
        <v>99</v>
      </c>
      <c r="W129" s="67">
        <v>40547.519999999997</v>
      </c>
      <c r="X129" s="67">
        <v>16220.94</v>
      </c>
      <c r="Y129" s="67">
        <v>24326.58</v>
      </c>
      <c r="Z129" s="68">
        <v>2571024.0099999998</v>
      </c>
      <c r="AD129" s="66">
        <v>99</v>
      </c>
      <c r="AE129" s="67">
        <v>50689.04</v>
      </c>
      <c r="AF129" s="67">
        <v>20278.03</v>
      </c>
      <c r="AG129" s="67">
        <v>30411.01</v>
      </c>
      <c r="AH129" s="68">
        <v>3214073.92</v>
      </c>
    </row>
    <row r="130" spans="22:35" x14ac:dyDescent="0.25">
      <c r="V130" s="66">
        <v>100</v>
      </c>
      <c r="W130" s="67">
        <v>40547.519999999997</v>
      </c>
      <c r="X130" s="67">
        <v>16068.9</v>
      </c>
      <c r="Y130" s="67">
        <v>24478.62</v>
      </c>
      <c r="Z130" s="68">
        <v>2546545.39</v>
      </c>
      <c r="AD130" s="66">
        <v>100</v>
      </c>
      <c r="AE130" s="67">
        <v>50689.04</v>
      </c>
      <c r="AF130" s="67">
        <v>20087.96</v>
      </c>
      <c r="AG130" s="67">
        <v>30601.07</v>
      </c>
      <c r="AH130" s="68">
        <v>3183472.84</v>
      </c>
    </row>
    <row r="131" spans="22:35" x14ac:dyDescent="0.25">
      <c r="V131" s="66">
        <v>101</v>
      </c>
      <c r="W131" s="67">
        <v>40547.519999999997</v>
      </c>
      <c r="X131" s="67">
        <v>15915.91</v>
      </c>
      <c r="Y131" s="67">
        <v>24631.61</v>
      </c>
      <c r="Z131" s="68">
        <v>2521913.7799999998</v>
      </c>
      <c r="AD131" s="66">
        <v>101</v>
      </c>
      <c r="AE131" s="67">
        <v>50689.04</v>
      </c>
      <c r="AF131" s="67">
        <v>19896.71</v>
      </c>
      <c r="AG131" s="67">
        <v>30792.33</v>
      </c>
      <c r="AH131" s="68">
        <v>3152680.51</v>
      </c>
    </row>
    <row r="132" spans="22:35" x14ac:dyDescent="0.25">
      <c r="V132" s="66">
        <v>102</v>
      </c>
      <c r="W132" s="67">
        <v>40547.519999999997</v>
      </c>
      <c r="X132" s="67">
        <v>15761.96</v>
      </c>
      <c r="Y132" s="67">
        <v>24785.56</v>
      </c>
      <c r="Z132" s="68">
        <v>2497128.2200000002</v>
      </c>
      <c r="AD132" s="66">
        <v>102</v>
      </c>
      <c r="AE132" s="67">
        <v>50689.04</v>
      </c>
      <c r="AF132" s="67">
        <v>19704.25</v>
      </c>
      <c r="AG132" s="67">
        <v>30984.78</v>
      </c>
      <c r="AH132" s="68">
        <v>3121695.73</v>
      </c>
    </row>
    <row r="133" spans="22:35" x14ac:dyDescent="0.25">
      <c r="V133" s="66">
        <v>103</v>
      </c>
      <c r="W133" s="67">
        <v>40547.519999999997</v>
      </c>
      <c r="X133" s="67">
        <v>15607.05</v>
      </c>
      <c r="Y133" s="67">
        <v>24940.47</v>
      </c>
      <c r="Z133" s="68">
        <v>2472187.75</v>
      </c>
      <c r="AD133" s="66">
        <v>103</v>
      </c>
      <c r="AE133" s="67">
        <v>50689.04</v>
      </c>
      <c r="AF133" s="67">
        <v>19510.599999999999</v>
      </c>
      <c r="AG133" s="67">
        <v>31178.44</v>
      </c>
      <c r="AH133" s="68">
        <v>3090517.29</v>
      </c>
    </row>
    <row r="134" spans="22:35" x14ac:dyDescent="0.25">
      <c r="V134" s="66">
        <v>104</v>
      </c>
      <c r="W134" s="67">
        <v>40547.519999999997</v>
      </c>
      <c r="X134" s="67">
        <v>15451.17</v>
      </c>
      <c r="Y134" s="67">
        <v>25096.35</v>
      </c>
      <c r="Z134" s="68">
        <v>2447091.41</v>
      </c>
      <c r="AD134" s="66">
        <v>104</v>
      </c>
      <c r="AE134" s="67">
        <v>50689.04</v>
      </c>
      <c r="AF134" s="67">
        <v>19315.73</v>
      </c>
      <c r="AG134" s="67">
        <v>31373.3</v>
      </c>
      <c r="AH134" s="68">
        <v>3059143.99</v>
      </c>
    </row>
    <row r="135" spans="22:35" x14ac:dyDescent="0.25">
      <c r="V135" s="66">
        <v>105</v>
      </c>
      <c r="W135" s="67">
        <v>40547.519999999997</v>
      </c>
      <c r="X135" s="67">
        <v>15294.32</v>
      </c>
      <c r="Y135" s="67">
        <v>25253.200000000001</v>
      </c>
      <c r="Z135" s="68">
        <v>2421838.21</v>
      </c>
      <c r="AD135" s="66">
        <v>105</v>
      </c>
      <c r="AE135" s="67">
        <v>50689.04</v>
      </c>
      <c r="AF135" s="67">
        <v>19119.650000000001</v>
      </c>
      <c r="AG135" s="67">
        <v>31569.39</v>
      </c>
      <c r="AH135" s="68">
        <v>3027574.6</v>
      </c>
    </row>
    <row r="136" spans="22:35" x14ac:dyDescent="0.25">
      <c r="V136" s="66">
        <v>106</v>
      </c>
      <c r="W136" s="67">
        <v>40547.519999999997</v>
      </c>
      <c r="X136" s="67">
        <v>15136.49</v>
      </c>
      <c r="Y136" s="67">
        <v>25411.03</v>
      </c>
      <c r="Z136" s="68">
        <v>2396427.1800000002</v>
      </c>
      <c r="AD136" s="66">
        <v>106</v>
      </c>
      <c r="AE136" s="67">
        <v>50689.04</v>
      </c>
      <c r="AF136" s="67">
        <v>18922.34</v>
      </c>
      <c r="AG136" s="67">
        <v>31766.69</v>
      </c>
      <c r="AH136" s="68">
        <v>2995807.91</v>
      </c>
    </row>
    <row r="137" spans="22:35" x14ac:dyDescent="0.25">
      <c r="V137" s="66">
        <v>107</v>
      </c>
      <c r="W137" s="67">
        <v>40547.519999999997</v>
      </c>
      <c r="X137" s="67">
        <v>14977.67</v>
      </c>
      <c r="Y137" s="67">
        <v>25569.85</v>
      </c>
      <c r="Z137" s="68">
        <v>2370857.3199999998</v>
      </c>
      <c r="AD137" s="66">
        <v>107</v>
      </c>
      <c r="AE137" s="67">
        <v>50689.04</v>
      </c>
      <c r="AF137" s="67">
        <v>18723.8</v>
      </c>
      <c r="AG137" s="67">
        <v>31965.24</v>
      </c>
      <c r="AH137" s="68">
        <v>2963842.67</v>
      </c>
    </row>
    <row r="138" spans="22:35" x14ac:dyDescent="0.25">
      <c r="V138" s="66">
        <v>108</v>
      </c>
      <c r="W138" s="67">
        <v>40547.519999999997</v>
      </c>
      <c r="X138" s="67">
        <v>14817.86</v>
      </c>
      <c r="Y138" s="67">
        <v>25729.66</v>
      </c>
      <c r="Z138" s="68">
        <v>2345127.66</v>
      </c>
      <c r="AA138" s="100">
        <f>Z138</f>
        <v>2345127.66</v>
      </c>
      <c r="AD138" s="66">
        <v>108</v>
      </c>
      <c r="AE138" s="67">
        <v>50689.04</v>
      </c>
      <c r="AF138" s="67">
        <v>18524.02</v>
      </c>
      <c r="AG138" s="67">
        <v>32165.02</v>
      </c>
      <c r="AH138" s="68">
        <v>2931677.65</v>
      </c>
      <c r="AI138" s="100">
        <f>AH138</f>
        <v>2931677.65</v>
      </c>
    </row>
    <row r="139" spans="22:35" x14ac:dyDescent="0.25">
      <c r="V139" s="66">
        <v>109</v>
      </c>
      <c r="W139" s="67">
        <v>40547.519999999997</v>
      </c>
      <c r="X139" s="67">
        <v>14657.05</v>
      </c>
      <c r="Y139" s="67">
        <v>25890.47</v>
      </c>
      <c r="Z139" s="68">
        <v>2319237.19</v>
      </c>
      <c r="AD139" s="66">
        <v>109</v>
      </c>
      <c r="AE139" s="67">
        <v>50689.04</v>
      </c>
      <c r="AF139" s="67">
        <v>18322.990000000002</v>
      </c>
      <c r="AG139" s="67">
        <v>32366.05</v>
      </c>
      <c r="AH139" s="68">
        <v>2899311.6</v>
      </c>
    </row>
    <row r="140" spans="22:35" x14ac:dyDescent="0.25">
      <c r="V140" s="66">
        <v>110</v>
      </c>
      <c r="W140" s="67">
        <v>40547.519999999997</v>
      </c>
      <c r="X140" s="67">
        <v>14495.23</v>
      </c>
      <c r="Y140" s="67">
        <v>26052.29</v>
      </c>
      <c r="Z140" s="68">
        <v>2293184.9</v>
      </c>
      <c r="AD140" s="66">
        <v>110</v>
      </c>
      <c r="AE140" s="67">
        <v>50689.04</v>
      </c>
      <c r="AF140" s="67">
        <v>18120.7</v>
      </c>
      <c r="AG140" s="67">
        <v>32568.34</v>
      </c>
      <c r="AH140" s="68">
        <v>2866743.26</v>
      </c>
    </row>
    <row r="141" spans="22:35" x14ac:dyDescent="0.25">
      <c r="V141" s="66">
        <v>111</v>
      </c>
      <c r="W141" s="67">
        <v>40547.519999999997</v>
      </c>
      <c r="X141" s="67">
        <v>14332.41</v>
      </c>
      <c r="Y141" s="67">
        <v>26215.11</v>
      </c>
      <c r="Z141" s="68">
        <v>2266969.79</v>
      </c>
      <c r="AD141" s="66">
        <v>111</v>
      </c>
      <c r="AE141" s="67">
        <v>50689.04</v>
      </c>
      <c r="AF141" s="67">
        <v>17917.150000000001</v>
      </c>
      <c r="AG141" s="67">
        <v>32771.89</v>
      </c>
      <c r="AH141" s="68">
        <v>2833971.37</v>
      </c>
    </row>
    <row r="142" spans="22:35" x14ac:dyDescent="0.25">
      <c r="V142" s="66">
        <v>112</v>
      </c>
      <c r="W142" s="67">
        <v>40547.519999999997</v>
      </c>
      <c r="X142" s="67">
        <v>14168.56</v>
      </c>
      <c r="Y142" s="67">
        <v>26378.959999999999</v>
      </c>
      <c r="Z142" s="68">
        <v>2240590.83</v>
      </c>
      <c r="AD142" s="66">
        <v>112</v>
      </c>
      <c r="AE142" s="67">
        <v>50689.04</v>
      </c>
      <c r="AF142" s="67">
        <v>17712.32</v>
      </c>
      <c r="AG142" s="67">
        <v>32976.71</v>
      </c>
      <c r="AH142" s="68">
        <v>2800994.66</v>
      </c>
    </row>
    <row r="143" spans="22:35" x14ac:dyDescent="0.25">
      <c r="V143" s="66">
        <v>113</v>
      </c>
      <c r="W143" s="67">
        <v>40547.519999999997</v>
      </c>
      <c r="X143" s="67">
        <v>14003.69</v>
      </c>
      <c r="Y143" s="67">
        <v>26543.83</v>
      </c>
      <c r="Z143" s="68">
        <v>2214047</v>
      </c>
      <c r="AD143" s="66">
        <v>113</v>
      </c>
      <c r="AE143" s="67">
        <v>50689.04</v>
      </c>
      <c r="AF143" s="67">
        <v>17506.22</v>
      </c>
      <c r="AG143" s="67">
        <v>33182.82</v>
      </c>
      <c r="AH143" s="68">
        <v>2767811.84</v>
      </c>
    </row>
    <row r="144" spans="22:35" x14ac:dyDescent="0.25">
      <c r="V144" s="66">
        <v>114</v>
      </c>
      <c r="W144" s="67">
        <v>40547.519999999997</v>
      </c>
      <c r="X144" s="67">
        <v>13837.79</v>
      </c>
      <c r="Y144" s="67">
        <v>26709.73</v>
      </c>
      <c r="Z144" s="68">
        <v>2187337.27</v>
      </c>
      <c r="AD144" s="66">
        <v>114</v>
      </c>
      <c r="AE144" s="67">
        <v>50689.04</v>
      </c>
      <c r="AF144" s="67">
        <v>17298.82</v>
      </c>
      <c r="AG144" s="67">
        <v>33390.21</v>
      </c>
      <c r="AH144" s="68">
        <v>2734421.63</v>
      </c>
    </row>
    <row r="145" spans="22:35" x14ac:dyDescent="0.25">
      <c r="V145" s="66">
        <v>115</v>
      </c>
      <c r="W145" s="67">
        <v>40547.519999999997</v>
      </c>
      <c r="X145" s="67">
        <v>13670.86</v>
      </c>
      <c r="Y145" s="67">
        <v>26876.66</v>
      </c>
      <c r="Z145" s="68">
        <v>2160460.61</v>
      </c>
      <c r="AD145" s="66">
        <v>115</v>
      </c>
      <c r="AE145" s="67">
        <v>50689.04</v>
      </c>
      <c r="AF145" s="67">
        <v>17090.14</v>
      </c>
      <c r="AG145" s="67">
        <v>33598.9</v>
      </c>
      <c r="AH145" s="68">
        <v>2700822.73</v>
      </c>
    </row>
    <row r="146" spans="22:35" x14ac:dyDescent="0.25">
      <c r="V146" s="66">
        <v>116</v>
      </c>
      <c r="W146" s="67">
        <v>40547.519999999997</v>
      </c>
      <c r="X146" s="67">
        <v>13502.88</v>
      </c>
      <c r="Y146" s="67">
        <v>27044.639999999999</v>
      </c>
      <c r="Z146" s="68">
        <v>2133415.9700000002</v>
      </c>
      <c r="AD146" s="66">
        <v>116</v>
      </c>
      <c r="AE146" s="67">
        <v>50689.04</v>
      </c>
      <c r="AF146" s="67">
        <v>16880.14</v>
      </c>
      <c r="AG146" s="67">
        <v>33808.89</v>
      </c>
      <c r="AH146" s="68">
        <v>2667013.83</v>
      </c>
    </row>
    <row r="147" spans="22:35" x14ac:dyDescent="0.25">
      <c r="V147" s="66">
        <v>117</v>
      </c>
      <c r="W147" s="67">
        <v>40547.519999999997</v>
      </c>
      <c r="X147" s="67">
        <v>13333.85</v>
      </c>
      <c r="Y147" s="67">
        <v>27213.67</v>
      </c>
      <c r="Z147" s="68">
        <v>2106202.2999999998</v>
      </c>
      <c r="AD147" s="66">
        <v>117</v>
      </c>
      <c r="AE147" s="67">
        <v>50689.04</v>
      </c>
      <c r="AF147" s="67">
        <v>16668.84</v>
      </c>
      <c r="AG147" s="67">
        <v>34020.199999999997</v>
      </c>
      <c r="AH147" s="68">
        <v>2632993.63</v>
      </c>
    </row>
    <row r="148" spans="22:35" x14ac:dyDescent="0.25">
      <c r="V148" s="66">
        <v>118</v>
      </c>
      <c r="W148" s="67">
        <v>40547.519999999997</v>
      </c>
      <c r="X148" s="67">
        <v>13163.76</v>
      </c>
      <c r="Y148" s="67">
        <v>27383.759999999998</v>
      </c>
      <c r="Z148" s="68">
        <v>2078818.54</v>
      </c>
      <c r="AD148" s="66">
        <v>118</v>
      </c>
      <c r="AE148" s="67">
        <v>50689.04</v>
      </c>
      <c r="AF148" s="67">
        <v>16456.21</v>
      </c>
      <c r="AG148" s="67">
        <v>34232.83</v>
      </c>
      <c r="AH148" s="68">
        <v>2598760.81</v>
      </c>
    </row>
    <row r="149" spans="22:35" x14ac:dyDescent="0.25">
      <c r="V149" s="66">
        <v>119</v>
      </c>
      <c r="W149" s="67">
        <v>40547.519999999997</v>
      </c>
      <c r="X149" s="67">
        <v>12992.62</v>
      </c>
      <c r="Y149" s="67">
        <v>27554.9</v>
      </c>
      <c r="Z149" s="68">
        <v>2051263.64</v>
      </c>
      <c r="AD149" s="66">
        <v>119</v>
      </c>
      <c r="AE149" s="67">
        <v>50689.04</v>
      </c>
      <c r="AF149" s="67">
        <v>16242.26</v>
      </c>
      <c r="AG149" s="67">
        <v>34446.78</v>
      </c>
      <c r="AH149" s="68">
        <v>2564314.0299999998</v>
      </c>
    </row>
    <row r="150" spans="22:35" x14ac:dyDescent="0.25">
      <c r="V150" s="66">
        <v>120</v>
      </c>
      <c r="W150" s="67">
        <v>40547.519999999997</v>
      </c>
      <c r="X150" s="67">
        <v>12820.4</v>
      </c>
      <c r="Y150" s="67">
        <v>27727.119999999999</v>
      </c>
      <c r="Z150" s="68">
        <v>2023536.51</v>
      </c>
      <c r="AA150" s="100">
        <f>Z150</f>
        <v>2023536.51</v>
      </c>
      <c r="AD150" s="66">
        <v>120</v>
      </c>
      <c r="AE150" s="67">
        <v>50689.04</v>
      </c>
      <c r="AF150" s="67">
        <v>16026.96</v>
      </c>
      <c r="AG150" s="67">
        <v>34662.07</v>
      </c>
      <c r="AH150" s="68">
        <v>2529651.96</v>
      </c>
      <c r="AI150" s="100">
        <f>AH150</f>
        <v>2529651.96</v>
      </c>
    </row>
    <row r="151" spans="22:35" x14ac:dyDescent="0.25">
      <c r="V151" s="66">
        <v>121</v>
      </c>
      <c r="W151" s="67">
        <v>40547.519999999997</v>
      </c>
      <c r="X151" s="67">
        <v>12647.1</v>
      </c>
      <c r="Y151" s="67">
        <v>27900.42</v>
      </c>
      <c r="Z151" s="68">
        <v>1995636.1</v>
      </c>
      <c r="AD151" s="66">
        <v>121</v>
      </c>
      <c r="AE151" s="67">
        <v>50689.04</v>
      </c>
      <c r="AF151" s="67">
        <v>15810.32</v>
      </c>
      <c r="AG151" s="67">
        <v>34878.71</v>
      </c>
      <c r="AH151" s="68">
        <v>2494773.2400000002</v>
      </c>
    </row>
    <row r="152" spans="22:35" x14ac:dyDescent="0.25">
      <c r="V152" s="66">
        <v>122</v>
      </c>
      <c r="W152" s="67">
        <v>40547.519999999997</v>
      </c>
      <c r="X152" s="67">
        <v>12472.73</v>
      </c>
      <c r="Y152" s="67">
        <v>28074.799999999999</v>
      </c>
      <c r="Z152" s="68">
        <v>1967561.3</v>
      </c>
      <c r="AD152" s="66">
        <v>122</v>
      </c>
      <c r="AE152" s="67">
        <v>50689.04</v>
      </c>
      <c r="AF152" s="67">
        <v>15592.33</v>
      </c>
      <c r="AG152" s="67">
        <v>35096.699999999997</v>
      </c>
      <c r="AH152" s="68">
        <v>2459676.54</v>
      </c>
    </row>
    <row r="153" spans="22:35" x14ac:dyDescent="0.25">
      <c r="V153" s="66">
        <v>123</v>
      </c>
      <c r="W153" s="67">
        <v>40547.519999999997</v>
      </c>
      <c r="X153" s="67">
        <v>12297.26</v>
      </c>
      <c r="Y153" s="67">
        <v>28250.26</v>
      </c>
      <c r="Z153" s="68">
        <v>1939311.04</v>
      </c>
      <c r="AD153" s="66">
        <v>123</v>
      </c>
      <c r="AE153" s="67">
        <v>50689.04</v>
      </c>
      <c r="AF153" s="67">
        <v>15372.98</v>
      </c>
      <c r="AG153" s="67">
        <v>35316.06</v>
      </c>
      <c r="AH153" s="68">
        <v>2424360.48</v>
      </c>
    </row>
    <row r="154" spans="22:35" x14ac:dyDescent="0.25">
      <c r="V154" s="66">
        <v>124</v>
      </c>
      <c r="W154" s="67">
        <v>40547.519999999997</v>
      </c>
      <c r="X154" s="67">
        <v>12120.69</v>
      </c>
      <c r="Y154" s="67">
        <v>28426.83</v>
      </c>
      <c r="Z154" s="68">
        <v>1910884.21</v>
      </c>
      <c r="AD154" s="66">
        <v>124</v>
      </c>
      <c r="AE154" s="67">
        <v>50689.04</v>
      </c>
      <c r="AF154" s="67">
        <v>15152.25</v>
      </c>
      <c r="AG154" s="67">
        <v>35536.78</v>
      </c>
      <c r="AH154" s="68">
        <v>2388823.7000000002</v>
      </c>
    </row>
    <row r="155" spans="22:35" x14ac:dyDescent="0.25">
      <c r="V155" s="66">
        <v>125</v>
      </c>
      <c r="W155" s="67">
        <v>40547.519999999997</v>
      </c>
      <c r="X155" s="67">
        <v>11943.03</v>
      </c>
      <c r="Y155" s="67">
        <v>28604.49</v>
      </c>
      <c r="Z155" s="68">
        <v>1882279.72</v>
      </c>
      <c r="AD155" s="66">
        <v>125</v>
      </c>
      <c r="AE155" s="67">
        <v>50689.04</v>
      </c>
      <c r="AF155" s="67">
        <v>14930.15</v>
      </c>
      <c r="AG155" s="67">
        <v>35758.89</v>
      </c>
      <c r="AH155" s="68">
        <v>2353064.81</v>
      </c>
    </row>
    <row r="156" spans="22:35" x14ac:dyDescent="0.25">
      <c r="V156" s="66">
        <v>126</v>
      </c>
      <c r="W156" s="67">
        <v>40547.519999999997</v>
      </c>
      <c r="X156" s="67">
        <v>11764.25</v>
      </c>
      <c r="Y156" s="67">
        <v>28783.27</v>
      </c>
      <c r="Z156" s="68">
        <v>1853496.44</v>
      </c>
      <c r="AD156" s="66">
        <v>126</v>
      </c>
      <c r="AE156" s="67">
        <v>50689.04</v>
      </c>
      <c r="AF156" s="67">
        <v>14706.66</v>
      </c>
      <c r="AG156" s="67">
        <v>35982.379999999997</v>
      </c>
      <c r="AH156" s="68">
        <v>2317082.4300000002</v>
      </c>
    </row>
    <row r="157" spans="22:35" x14ac:dyDescent="0.25">
      <c r="V157" s="66">
        <v>127</v>
      </c>
      <c r="W157" s="67">
        <v>40547.519999999997</v>
      </c>
      <c r="X157" s="67">
        <v>11584.35</v>
      </c>
      <c r="Y157" s="67">
        <v>28963.17</v>
      </c>
      <c r="Z157" s="68">
        <v>1824533.28</v>
      </c>
      <c r="AD157" s="66">
        <v>127</v>
      </c>
      <c r="AE157" s="67">
        <v>50689.04</v>
      </c>
      <c r="AF157" s="67">
        <v>14481.77</v>
      </c>
      <c r="AG157" s="67">
        <v>36207.269999999997</v>
      </c>
      <c r="AH157" s="68">
        <v>2280875.16</v>
      </c>
    </row>
    <row r="158" spans="22:35" x14ac:dyDescent="0.25">
      <c r="V158" s="66">
        <v>128</v>
      </c>
      <c r="W158" s="67">
        <v>40547.519999999997</v>
      </c>
      <c r="X158" s="67">
        <v>11403.33</v>
      </c>
      <c r="Y158" s="67">
        <v>29144.19</v>
      </c>
      <c r="Z158" s="68">
        <v>1795389.09</v>
      </c>
      <c r="AD158" s="66">
        <v>128</v>
      </c>
      <c r="AE158" s="67">
        <v>50689.04</v>
      </c>
      <c r="AF158" s="67">
        <v>14255.47</v>
      </c>
      <c r="AG158" s="67">
        <v>36433.57</v>
      </c>
      <c r="AH158" s="68">
        <v>2244441.6</v>
      </c>
    </row>
    <row r="159" spans="22:35" x14ac:dyDescent="0.25">
      <c r="V159" s="66">
        <v>129</v>
      </c>
      <c r="W159" s="67">
        <v>40547.519999999997</v>
      </c>
      <c r="X159" s="67">
        <v>11221.18</v>
      </c>
      <c r="Y159" s="67">
        <v>29326.34</v>
      </c>
      <c r="Z159" s="68">
        <v>1766062.75</v>
      </c>
      <c r="AD159" s="66">
        <v>129</v>
      </c>
      <c r="AE159" s="67">
        <v>50689.04</v>
      </c>
      <c r="AF159" s="67">
        <v>14027.76</v>
      </c>
      <c r="AG159" s="67">
        <v>36661.279999999999</v>
      </c>
      <c r="AH159" s="68">
        <v>2207780.3199999998</v>
      </c>
    </row>
    <row r="160" spans="22:35" x14ac:dyDescent="0.25">
      <c r="V160" s="66">
        <v>130</v>
      </c>
      <c r="W160" s="67">
        <v>40547.519999999997</v>
      </c>
      <c r="X160" s="67">
        <v>11037.89</v>
      </c>
      <c r="Y160" s="67">
        <v>29509.63</v>
      </c>
      <c r="Z160" s="68">
        <v>1736553.12</v>
      </c>
      <c r="AD160" s="66">
        <v>130</v>
      </c>
      <c r="AE160" s="67">
        <v>50689.04</v>
      </c>
      <c r="AF160" s="67">
        <v>13798.63</v>
      </c>
      <c r="AG160" s="67">
        <v>36890.410000000003</v>
      </c>
      <c r="AH160" s="68">
        <v>2170889.91</v>
      </c>
    </row>
    <row r="161" spans="22:35" x14ac:dyDescent="0.25">
      <c r="V161" s="66">
        <v>131</v>
      </c>
      <c r="W161" s="67">
        <v>40547.519999999997</v>
      </c>
      <c r="X161" s="67">
        <v>10853.46</v>
      </c>
      <c r="Y161" s="67">
        <v>29694.06</v>
      </c>
      <c r="Z161" s="68">
        <v>1706859.06</v>
      </c>
      <c r="AD161" s="66">
        <v>131</v>
      </c>
      <c r="AE161" s="67">
        <v>50689.04</v>
      </c>
      <c r="AF161" s="67">
        <v>13568.06</v>
      </c>
      <c r="AG161" s="67">
        <v>37120.97</v>
      </c>
      <c r="AH161" s="68">
        <v>2133768.94</v>
      </c>
    </row>
    <row r="162" spans="22:35" x14ac:dyDescent="0.25">
      <c r="V162" s="66">
        <v>132</v>
      </c>
      <c r="W162" s="67">
        <v>40547.519999999997</v>
      </c>
      <c r="X162" s="67">
        <v>10667.87</v>
      </c>
      <c r="Y162" s="67">
        <v>29879.65</v>
      </c>
      <c r="Z162" s="68">
        <v>1676979.41</v>
      </c>
      <c r="AA162" s="100">
        <f>Z162</f>
        <v>1676979.41</v>
      </c>
      <c r="AD162" s="66">
        <v>132</v>
      </c>
      <c r="AE162" s="67">
        <v>50689.04</v>
      </c>
      <c r="AF162" s="67">
        <v>13336.06</v>
      </c>
      <c r="AG162" s="67">
        <v>37352.980000000003</v>
      </c>
      <c r="AH162" s="68">
        <v>2096415.96</v>
      </c>
      <c r="AI162" s="100">
        <f>AH162</f>
        <v>2096415.96</v>
      </c>
    </row>
    <row r="163" spans="22:35" x14ac:dyDescent="0.25">
      <c r="V163" s="66">
        <v>133</v>
      </c>
      <c r="W163" s="67">
        <v>40547.519999999997</v>
      </c>
      <c r="X163" s="67">
        <v>10481.120000000001</v>
      </c>
      <c r="Y163" s="67">
        <v>30066.400000000001</v>
      </c>
      <c r="Z163" s="68">
        <v>1646913.01</v>
      </c>
      <c r="AD163" s="66">
        <v>133</v>
      </c>
      <c r="AE163" s="67">
        <v>50689.04</v>
      </c>
      <c r="AF163" s="67">
        <v>13102.6</v>
      </c>
      <c r="AG163" s="67">
        <v>37586.44</v>
      </c>
      <c r="AH163" s="68">
        <v>2058829.52</v>
      </c>
    </row>
    <row r="164" spans="22:35" x14ac:dyDescent="0.25">
      <c r="V164" s="66">
        <v>134</v>
      </c>
      <c r="W164" s="67">
        <v>40547.519999999997</v>
      </c>
      <c r="X164" s="67">
        <v>10293.209999999999</v>
      </c>
      <c r="Y164" s="67">
        <v>30254.31</v>
      </c>
      <c r="Z164" s="68">
        <v>1616658.69</v>
      </c>
      <c r="AD164" s="66">
        <v>134</v>
      </c>
      <c r="AE164" s="67">
        <v>50689.04</v>
      </c>
      <c r="AF164" s="67">
        <v>12867.68</v>
      </c>
      <c r="AG164" s="67">
        <v>37821.35</v>
      </c>
      <c r="AH164" s="68">
        <v>2021008.17</v>
      </c>
    </row>
    <row r="165" spans="22:35" x14ac:dyDescent="0.25">
      <c r="V165" s="66">
        <v>135</v>
      </c>
      <c r="W165" s="67">
        <v>40547.519999999997</v>
      </c>
      <c r="X165" s="67">
        <v>10104.120000000001</v>
      </c>
      <c r="Y165" s="67">
        <v>30443.4</v>
      </c>
      <c r="Z165" s="68">
        <v>1586215.29</v>
      </c>
      <c r="AD165" s="66">
        <v>135</v>
      </c>
      <c r="AE165" s="67">
        <v>50689.04</v>
      </c>
      <c r="AF165" s="67">
        <v>12631.3</v>
      </c>
      <c r="AG165" s="67">
        <v>38057.730000000003</v>
      </c>
      <c r="AH165" s="68">
        <v>1982950.43</v>
      </c>
    </row>
    <row r="166" spans="22:35" x14ac:dyDescent="0.25">
      <c r="V166" s="66">
        <v>136</v>
      </c>
      <c r="W166" s="67">
        <v>40547.519999999997</v>
      </c>
      <c r="X166" s="67">
        <v>9913.85</v>
      </c>
      <c r="Y166" s="67">
        <v>30633.68</v>
      </c>
      <c r="Z166" s="68">
        <v>1555581.61</v>
      </c>
      <c r="AD166" s="66">
        <v>136</v>
      </c>
      <c r="AE166" s="67">
        <v>50689.04</v>
      </c>
      <c r="AF166" s="67">
        <v>12393.44</v>
      </c>
      <c r="AG166" s="67">
        <v>38295.599999999999</v>
      </c>
      <c r="AH166" s="68">
        <v>1944654.84</v>
      </c>
    </row>
    <row r="167" spans="22:35" x14ac:dyDescent="0.25">
      <c r="V167" s="66">
        <v>137</v>
      </c>
      <c r="W167" s="67">
        <v>40547.519999999997</v>
      </c>
      <c r="X167" s="67">
        <v>9722.39</v>
      </c>
      <c r="Y167" s="67">
        <v>30825.14</v>
      </c>
      <c r="Z167" s="68">
        <v>1524756.48</v>
      </c>
      <c r="AD167" s="66">
        <v>137</v>
      </c>
      <c r="AE167" s="67">
        <v>50689.04</v>
      </c>
      <c r="AF167" s="67">
        <v>12154.09</v>
      </c>
      <c r="AG167" s="67">
        <v>38534.94</v>
      </c>
      <c r="AH167" s="68">
        <v>1906119.9</v>
      </c>
    </row>
    <row r="168" spans="22:35" x14ac:dyDescent="0.25">
      <c r="V168" s="66">
        <v>138</v>
      </c>
      <c r="W168" s="67">
        <v>40547.519999999997</v>
      </c>
      <c r="X168" s="67">
        <v>9529.73</v>
      </c>
      <c r="Y168" s="67">
        <v>31017.79</v>
      </c>
      <c r="Z168" s="68">
        <v>1493738.69</v>
      </c>
      <c r="AD168" s="66">
        <v>138</v>
      </c>
      <c r="AE168" s="67">
        <v>50689.04</v>
      </c>
      <c r="AF168" s="67">
        <v>11913.25</v>
      </c>
      <c r="AG168" s="67">
        <v>38775.79</v>
      </c>
      <c r="AH168" s="68">
        <v>1867344.11</v>
      </c>
    </row>
    <row r="169" spans="22:35" x14ac:dyDescent="0.25">
      <c r="V169" s="66">
        <v>139</v>
      </c>
      <c r="W169" s="67">
        <v>40547.519999999997</v>
      </c>
      <c r="X169" s="67">
        <v>9335.8700000000008</v>
      </c>
      <c r="Y169" s="67">
        <v>31211.65</v>
      </c>
      <c r="Z169" s="68">
        <v>1462527.03</v>
      </c>
      <c r="AD169" s="66">
        <v>139</v>
      </c>
      <c r="AE169" s="67">
        <v>50689.04</v>
      </c>
      <c r="AF169" s="67">
        <v>11670.9</v>
      </c>
      <c r="AG169" s="67">
        <v>39018.14</v>
      </c>
      <c r="AH169" s="68">
        <v>1828325.97</v>
      </c>
    </row>
    <row r="170" spans="22:35" x14ac:dyDescent="0.25">
      <c r="V170" s="66">
        <v>140</v>
      </c>
      <c r="W170" s="67">
        <v>40547.519999999997</v>
      </c>
      <c r="X170" s="67">
        <v>9140.7900000000009</v>
      </c>
      <c r="Y170" s="67">
        <v>31406.73</v>
      </c>
      <c r="Z170" s="68">
        <v>1431120.31</v>
      </c>
      <c r="AD170" s="66">
        <v>140</v>
      </c>
      <c r="AE170" s="67">
        <v>50689.04</v>
      </c>
      <c r="AF170" s="67">
        <v>11427.04</v>
      </c>
      <c r="AG170" s="67">
        <v>39262</v>
      </c>
      <c r="AH170" s="68">
        <v>1789063.98</v>
      </c>
    </row>
    <row r="171" spans="22:35" x14ac:dyDescent="0.25">
      <c r="V171" s="66">
        <v>141</v>
      </c>
      <c r="W171" s="67">
        <v>40547.519999999997</v>
      </c>
      <c r="X171" s="67">
        <v>8944.5</v>
      </c>
      <c r="Y171" s="67">
        <v>31603.02</v>
      </c>
      <c r="Z171" s="68">
        <v>1399517.29</v>
      </c>
      <c r="AD171" s="66">
        <v>141</v>
      </c>
      <c r="AE171" s="67">
        <v>50689.04</v>
      </c>
      <c r="AF171" s="67">
        <v>11181.65</v>
      </c>
      <c r="AG171" s="67">
        <v>39507.39</v>
      </c>
      <c r="AH171" s="68">
        <v>1749556.59</v>
      </c>
    </row>
    <row r="172" spans="22:35" x14ac:dyDescent="0.25">
      <c r="V172" s="66">
        <v>142</v>
      </c>
      <c r="W172" s="67">
        <v>40547.519999999997</v>
      </c>
      <c r="X172" s="67">
        <v>8746.98</v>
      </c>
      <c r="Y172" s="67">
        <v>31800.54</v>
      </c>
      <c r="Z172" s="68">
        <v>1367716.75</v>
      </c>
      <c r="AD172" s="66">
        <v>142</v>
      </c>
      <c r="AE172" s="67">
        <v>50689.04</v>
      </c>
      <c r="AF172" s="67">
        <v>10934.73</v>
      </c>
      <c r="AG172" s="67">
        <v>39754.31</v>
      </c>
      <c r="AH172" s="68">
        <v>1709802.28</v>
      </c>
    </row>
    <row r="173" spans="22:35" x14ac:dyDescent="0.25">
      <c r="V173" s="66">
        <v>143</v>
      </c>
      <c r="W173" s="67">
        <v>40547.519999999997</v>
      </c>
      <c r="X173" s="67">
        <v>8548.23</v>
      </c>
      <c r="Y173" s="67">
        <v>31999.29</v>
      </c>
      <c r="Z173" s="68">
        <v>1335717.46</v>
      </c>
      <c r="AD173" s="66">
        <v>143</v>
      </c>
      <c r="AE173" s="67">
        <v>50689.04</v>
      </c>
      <c r="AF173" s="67">
        <v>10686.26</v>
      </c>
      <c r="AG173" s="67">
        <v>40002.769999999997</v>
      </c>
      <c r="AH173" s="68">
        <v>1669799.51</v>
      </c>
    </row>
    <row r="174" spans="22:35" x14ac:dyDescent="0.25">
      <c r="V174" s="66">
        <v>144</v>
      </c>
      <c r="W174" s="67">
        <v>40547.519999999997</v>
      </c>
      <c r="X174" s="67">
        <v>8348.23</v>
      </c>
      <c r="Y174" s="67">
        <v>32199.29</v>
      </c>
      <c r="Z174" s="68">
        <v>1303518.17</v>
      </c>
      <c r="AA174" s="100">
        <f>Z174</f>
        <v>1303518.17</v>
      </c>
      <c r="AD174" s="66">
        <v>144</v>
      </c>
      <c r="AE174" s="67">
        <v>50689.04</v>
      </c>
      <c r="AF174" s="67">
        <v>10436.25</v>
      </c>
      <c r="AG174" s="67">
        <v>40252.79</v>
      </c>
      <c r="AH174" s="68">
        <v>1629546.72</v>
      </c>
      <c r="AI174" s="100">
        <f>AH174</f>
        <v>1629546.72</v>
      </c>
    </row>
    <row r="175" spans="22:35" x14ac:dyDescent="0.25">
      <c r="V175" s="66">
        <v>145</v>
      </c>
      <c r="W175" s="67">
        <v>40547.519999999997</v>
      </c>
      <c r="X175" s="67">
        <v>8146.99</v>
      </c>
      <c r="Y175" s="67">
        <v>32400.53</v>
      </c>
      <c r="Z175" s="68">
        <v>1271117.6399999999</v>
      </c>
      <c r="AD175" s="66">
        <v>145</v>
      </c>
      <c r="AE175" s="67">
        <v>50689.04</v>
      </c>
      <c r="AF175" s="67">
        <v>10184.67</v>
      </c>
      <c r="AG175" s="67">
        <v>40504.370000000003</v>
      </c>
      <c r="AH175" s="68">
        <v>1589042.35</v>
      </c>
    </row>
    <row r="176" spans="22:35" x14ac:dyDescent="0.25">
      <c r="V176" s="66">
        <v>146</v>
      </c>
      <c r="W176" s="67">
        <v>40547.519999999997</v>
      </c>
      <c r="X176" s="67">
        <v>7944.49</v>
      </c>
      <c r="Y176" s="67">
        <v>32603.040000000001</v>
      </c>
      <c r="Z176" s="68">
        <v>1238514.6000000001</v>
      </c>
      <c r="AD176" s="66">
        <v>146</v>
      </c>
      <c r="AE176" s="67">
        <v>50689.04</v>
      </c>
      <c r="AF176" s="67">
        <v>9931.51</v>
      </c>
      <c r="AG176" s="67">
        <v>40757.519999999997</v>
      </c>
      <c r="AH176" s="68">
        <v>1548284.83</v>
      </c>
    </row>
    <row r="177" spans="22:35" x14ac:dyDescent="0.25">
      <c r="V177" s="66">
        <v>147</v>
      </c>
      <c r="W177" s="67">
        <v>40547.519999999997</v>
      </c>
      <c r="X177" s="67">
        <v>7740.72</v>
      </c>
      <c r="Y177" s="67">
        <v>32806.800000000003</v>
      </c>
      <c r="Z177" s="68">
        <v>1205707.8</v>
      </c>
      <c r="AD177" s="66">
        <v>147</v>
      </c>
      <c r="AE177" s="67">
        <v>50689.04</v>
      </c>
      <c r="AF177" s="67">
        <v>9676.7800000000007</v>
      </c>
      <c r="AG177" s="67">
        <v>41012.26</v>
      </c>
      <c r="AH177" s="68">
        <v>1507272.58</v>
      </c>
    </row>
    <row r="178" spans="22:35" x14ac:dyDescent="0.25">
      <c r="V178" s="66">
        <v>148</v>
      </c>
      <c r="W178" s="67">
        <v>40547.519999999997</v>
      </c>
      <c r="X178" s="67">
        <v>7535.67</v>
      </c>
      <c r="Y178" s="67">
        <v>33011.85</v>
      </c>
      <c r="Z178" s="68">
        <v>1172695.95</v>
      </c>
      <c r="AD178" s="66">
        <v>148</v>
      </c>
      <c r="AE178" s="67">
        <v>50689.04</v>
      </c>
      <c r="AF178" s="67">
        <v>9420.4500000000007</v>
      </c>
      <c r="AG178" s="67">
        <v>41268.58</v>
      </c>
      <c r="AH178" s="68">
        <v>1466003.99</v>
      </c>
    </row>
    <row r="179" spans="22:35" x14ac:dyDescent="0.25">
      <c r="V179" s="66">
        <v>149</v>
      </c>
      <c r="W179" s="67">
        <v>40547.519999999997</v>
      </c>
      <c r="X179" s="67">
        <v>7329.35</v>
      </c>
      <c r="Y179" s="67">
        <v>33218.17</v>
      </c>
      <c r="Z179" s="68">
        <v>1139477.78</v>
      </c>
      <c r="AD179" s="66">
        <v>149</v>
      </c>
      <c r="AE179" s="67">
        <v>50689.04</v>
      </c>
      <c r="AF179" s="67">
        <v>9162.52</v>
      </c>
      <c r="AG179" s="67">
        <v>41526.51</v>
      </c>
      <c r="AH179" s="68">
        <v>1424477.48</v>
      </c>
    </row>
    <row r="180" spans="22:35" x14ac:dyDescent="0.25">
      <c r="V180" s="66">
        <v>150</v>
      </c>
      <c r="W180" s="67">
        <v>40547.519999999997</v>
      </c>
      <c r="X180" s="67">
        <v>7121.74</v>
      </c>
      <c r="Y180" s="67">
        <v>33425.78</v>
      </c>
      <c r="Z180" s="68">
        <v>1106052</v>
      </c>
      <c r="AD180" s="66">
        <v>150</v>
      </c>
      <c r="AE180" s="67">
        <v>50689.04</v>
      </c>
      <c r="AF180" s="67">
        <v>8902.98</v>
      </c>
      <c r="AG180" s="67">
        <v>41786.050000000003</v>
      </c>
      <c r="AH180" s="68">
        <v>1382691.43</v>
      </c>
    </row>
    <row r="181" spans="22:35" x14ac:dyDescent="0.25">
      <c r="V181" s="66">
        <v>151</v>
      </c>
      <c r="W181" s="67">
        <v>40547.519999999997</v>
      </c>
      <c r="X181" s="67">
        <v>6912.82</v>
      </c>
      <c r="Y181" s="67">
        <v>33634.699999999997</v>
      </c>
      <c r="Z181" s="68">
        <v>1072417.3</v>
      </c>
      <c r="AD181" s="66">
        <v>151</v>
      </c>
      <c r="AE181" s="67">
        <v>50689.04</v>
      </c>
      <c r="AF181" s="67">
        <v>8641.82</v>
      </c>
      <c r="AG181" s="67">
        <v>42047.21</v>
      </c>
      <c r="AH181" s="68">
        <v>1340644.22</v>
      </c>
    </row>
    <row r="182" spans="22:35" x14ac:dyDescent="0.25">
      <c r="V182" s="66">
        <v>152</v>
      </c>
      <c r="W182" s="67">
        <v>40547.519999999997</v>
      </c>
      <c r="X182" s="67">
        <v>6702.61</v>
      </c>
      <c r="Y182" s="67">
        <v>33844.910000000003</v>
      </c>
      <c r="Z182" s="68">
        <v>1038572.39</v>
      </c>
      <c r="AD182" s="66">
        <v>152</v>
      </c>
      <c r="AE182" s="67">
        <v>50689.04</v>
      </c>
      <c r="AF182" s="67">
        <v>8379.0300000000007</v>
      </c>
      <c r="AG182" s="67">
        <v>42310.01</v>
      </c>
      <c r="AH182" s="68">
        <v>1298334.21</v>
      </c>
    </row>
    <row r="183" spans="22:35" x14ac:dyDescent="0.25">
      <c r="V183" s="66">
        <v>153</v>
      </c>
      <c r="W183" s="67">
        <v>40547.519999999997</v>
      </c>
      <c r="X183" s="67">
        <v>6491.08</v>
      </c>
      <c r="Y183" s="67">
        <v>34056.44</v>
      </c>
      <c r="Z183" s="68">
        <v>1004515.95</v>
      </c>
      <c r="AD183" s="66">
        <v>153</v>
      </c>
      <c r="AE183" s="67">
        <v>50689.04</v>
      </c>
      <c r="AF183" s="67">
        <v>8114.59</v>
      </c>
      <c r="AG183" s="67">
        <v>42574.45</v>
      </c>
      <c r="AH183" s="68">
        <v>1255759.76</v>
      </c>
    </row>
    <row r="184" spans="22:35" x14ac:dyDescent="0.25">
      <c r="V184" s="66">
        <v>154</v>
      </c>
      <c r="W184" s="67">
        <v>40547.519999999997</v>
      </c>
      <c r="X184" s="67">
        <v>6278.22</v>
      </c>
      <c r="Y184" s="67">
        <v>34269.300000000003</v>
      </c>
      <c r="Z184" s="68">
        <v>970246.65</v>
      </c>
      <c r="AD184" s="66">
        <v>154</v>
      </c>
      <c r="AE184" s="67">
        <v>50689.04</v>
      </c>
      <c r="AF184" s="67">
        <v>7848.5</v>
      </c>
      <c r="AG184" s="67">
        <v>42840.54</v>
      </c>
      <c r="AH184" s="68">
        <v>1212919.22</v>
      </c>
    </row>
    <row r="185" spans="22:35" x14ac:dyDescent="0.25">
      <c r="V185" s="66">
        <v>155</v>
      </c>
      <c r="W185" s="67">
        <v>40547.519999999997</v>
      </c>
      <c r="X185" s="67">
        <v>6064.04</v>
      </c>
      <c r="Y185" s="67">
        <v>34483.480000000003</v>
      </c>
      <c r="Z185" s="68">
        <v>935763.17</v>
      </c>
      <c r="AD185" s="66">
        <v>155</v>
      </c>
      <c r="AE185" s="67">
        <v>50689.04</v>
      </c>
      <c r="AF185" s="67">
        <v>7580.75</v>
      </c>
      <c r="AG185" s="67">
        <v>43108.29</v>
      </c>
      <c r="AH185" s="68">
        <v>1169810.93</v>
      </c>
    </row>
    <row r="186" spans="22:35" x14ac:dyDescent="0.25">
      <c r="V186" s="66">
        <v>156</v>
      </c>
      <c r="W186" s="67">
        <v>40547.519999999997</v>
      </c>
      <c r="X186" s="67">
        <v>5848.52</v>
      </c>
      <c r="Y186" s="67">
        <v>34699</v>
      </c>
      <c r="Z186" s="68">
        <v>901064.17</v>
      </c>
      <c r="AA186" s="100">
        <f>Z186</f>
        <v>901064.17</v>
      </c>
      <c r="AD186" s="66">
        <v>156</v>
      </c>
      <c r="AE186" s="67">
        <v>50689.04</v>
      </c>
      <c r="AF186" s="67">
        <v>7311.32</v>
      </c>
      <c r="AG186" s="67">
        <v>43377.72</v>
      </c>
      <c r="AH186" s="68">
        <v>1126433.22</v>
      </c>
      <c r="AI186" s="100">
        <f>AH186</f>
        <v>1126433.22</v>
      </c>
    </row>
    <row r="187" spans="22:35" x14ac:dyDescent="0.25">
      <c r="V187" s="66">
        <v>157</v>
      </c>
      <c r="W187" s="67">
        <v>40547.519999999997</v>
      </c>
      <c r="X187" s="67">
        <v>5631.65</v>
      </c>
      <c r="Y187" s="67">
        <v>34915.870000000003</v>
      </c>
      <c r="Z187" s="68">
        <v>866148.3</v>
      </c>
      <c r="AD187" s="66">
        <v>157</v>
      </c>
      <c r="AE187" s="67">
        <v>50689.04</v>
      </c>
      <c r="AF187" s="67">
        <v>7040.21</v>
      </c>
      <c r="AG187" s="67">
        <v>43648.83</v>
      </c>
      <c r="AH187" s="68">
        <v>1082784.3899999999</v>
      </c>
    </row>
    <row r="188" spans="22:35" x14ac:dyDescent="0.25">
      <c r="V188" s="66">
        <v>158</v>
      </c>
      <c r="W188" s="67">
        <v>40547.519999999997</v>
      </c>
      <c r="X188" s="67">
        <v>5413.43</v>
      </c>
      <c r="Y188" s="67">
        <v>35134.089999999997</v>
      </c>
      <c r="Z188" s="68">
        <v>831014.21</v>
      </c>
      <c r="AD188" s="66">
        <v>158</v>
      </c>
      <c r="AE188" s="67">
        <v>50689.04</v>
      </c>
      <c r="AF188" s="67">
        <v>6767.4</v>
      </c>
      <c r="AG188" s="67">
        <v>43921.63</v>
      </c>
      <c r="AH188" s="68">
        <v>1038862.75</v>
      </c>
    </row>
    <row r="189" spans="22:35" x14ac:dyDescent="0.25">
      <c r="V189" s="66">
        <v>159</v>
      </c>
      <c r="W189" s="67">
        <v>40547.519999999997</v>
      </c>
      <c r="X189" s="67">
        <v>5193.84</v>
      </c>
      <c r="Y189" s="67">
        <v>35353.68</v>
      </c>
      <c r="Z189" s="68">
        <v>795660.53</v>
      </c>
      <c r="AD189" s="66">
        <v>159</v>
      </c>
      <c r="AE189" s="67">
        <v>50689.04</v>
      </c>
      <c r="AF189" s="67">
        <v>6492.89</v>
      </c>
      <c r="AG189" s="67">
        <v>44196.14</v>
      </c>
      <c r="AH189" s="68">
        <v>994666.61</v>
      </c>
    </row>
    <row r="190" spans="22:35" x14ac:dyDescent="0.25">
      <c r="V190" s="66">
        <v>160</v>
      </c>
      <c r="W190" s="67">
        <v>40547.519999999997</v>
      </c>
      <c r="X190" s="67">
        <v>4972.88</v>
      </c>
      <c r="Y190" s="67">
        <v>35574.639999999999</v>
      </c>
      <c r="Z190" s="68">
        <v>760085.88</v>
      </c>
      <c r="AD190" s="66">
        <v>160</v>
      </c>
      <c r="AE190" s="67">
        <v>50689.04</v>
      </c>
      <c r="AF190" s="67">
        <v>6216.67</v>
      </c>
      <c r="AG190" s="67">
        <v>44472.37</v>
      </c>
      <c r="AH190" s="68">
        <v>950194.24</v>
      </c>
    </row>
    <row r="191" spans="22:35" x14ac:dyDescent="0.25">
      <c r="V191" s="66">
        <v>161</v>
      </c>
      <c r="W191" s="67">
        <v>40547.519999999997</v>
      </c>
      <c r="X191" s="67">
        <v>4750.54</v>
      </c>
      <c r="Y191" s="67">
        <v>35796.980000000003</v>
      </c>
      <c r="Z191" s="68">
        <v>724288.9</v>
      </c>
      <c r="AD191" s="66">
        <v>161</v>
      </c>
      <c r="AE191" s="67">
        <v>50689.04</v>
      </c>
      <c r="AF191" s="67">
        <v>5938.71</v>
      </c>
      <c r="AG191" s="67">
        <v>44750.32</v>
      </c>
      <c r="AH191" s="68">
        <v>905443.92</v>
      </c>
    </row>
    <row r="192" spans="22:35" x14ac:dyDescent="0.25">
      <c r="V192" s="66">
        <v>162</v>
      </c>
      <c r="W192" s="67">
        <v>40547.519999999997</v>
      </c>
      <c r="X192" s="67">
        <v>4526.8100000000004</v>
      </c>
      <c r="Y192" s="67">
        <v>36020.720000000001</v>
      </c>
      <c r="Z192" s="68">
        <v>688268.18</v>
      </c>
      <c r="AD192" s="66">
        <v>162</v>
      </c>
      <c r="AE192" s="67">
        <v>50689.04</v>
      </c>
      <c r="AF192" s="67">
        <v>5659.02</v>
      </c>
      <c r="AG192" s="67">
        <v>45030.01</v>
      </c>
      <c r="AH192" s="68">
        <v>860413.91</v>
      </c>
    </row>
    <row r="193" spans="22:35" x14ac:dyDescent="0.25">
      <c r="V193" s="66">
        <v>163</v>
      </c>
      <c r="W193" s="67">
        <v>40547.519999999997</v>
      </c>
      <c r="X193" s="67">
        <v>4301.68</v>
      </c>
      <c r="Y193" s="67">
        <v>36245.839999999997</v>
      </c>
      <c r="Z193" s="68">
        <v>652022.34</v>
      </c>
      <c r="AD193" s="66">
        <v>163</v>
      </c>
      <c r="AE193" s="67">
        <v>50689.04</v>
      </c>
      <c r="AF193" s="67">
        <v>5377.59</v>
      </c>
      <c r="AG193" s="67">
        <v>45311.45</v>
      </c>
      <c r="AH193" s="68">
        <v>815102.46</v>
      </c>
    </row>
    <row r="194" spans="22:35" x14ac:dyDescent="0.25">
      <c r="V194" s="66">
        <v>164</v>
      </c>
      <c r="W194" s="67">
        <v>40547.519999999997</v>
      </c>
      <c r="X194" s="67">
        <v>4075.14</v>
      </c>
      <c r="Y194" s="67">
        <v>36472.379999999997</v>
      </c>
      <c r="Z194" s="68">
        <v>615549.96</v>
      </c>
      <c r="AD194" s="66">
        <v>164</v>
      </c>
      <c r="AE194" s="67">
        <v>50689.04</v>
      </c>
      <c r="AF194" s="67">
        <v>5094.3900000000003</v>
      </c>
      <c r="AG194" s="67">
        <v>45594.65</v>
      </c>
      <c r="AH194" s="68">
        <v>769507.81</v>
      </c>
    </row>
    <row r="195" spans="22:35" x14ac:dyDescent="0.25">
      <c r="V195" s="66">
        <v>165</v>
      </c>
      <c r="W195" s="67">
        <v>40547.519999999997</v>
      </c>
      <c r="X195" s="67">
        <v>3847.19</v>
      </c>
      <c r="Y195" s="67">
        <v>36700.33</v>
      </c>
      <c r="Z195" s="68">
        <v>578849.63</v>
      </c>
      <c r="AD195" s="66">
        <v>165</v>
      </c>
      <c r="AE195" s="67">
        <v>50689.04</v>
      </c>
      <c r="AF195" s="67">
        <v>4809.42</v>
      </c>
      <c r="AG195" s="67">
        <v>45879.61</v>
      </c>
      <c r="AH195" s="68">
        <v>723628.2</v>
      </c>
    </row>
    <row r="196" spans="22:35" x14ac:dyDescent="0.25">
      <c r="V196" s="66">
        <v>166</v>
      </c>
      <c r="W196" s="67">
        <v>40547.519999999997</v>
      </c>
      <c r="X196" s="67">
        <v>3617.81</v>
      </c>
      <c r="Y196" s="67">
        <v>36929.71</v>
      </c>
      <c r="Z196" s="68">
        <v>541919.91</v>
      </c>
      <c r="AD196" s="66">
        <v>166</v>
      </c>
      <c r="AE196" s="67">
        <v>50689.04</v>
      </c>
      <c r="AF196" s="67">
        <v>4522.68</v>
      </c>
      <c r="AG196" s="67">
        <v>46166.36</v>
      </c>
      <c r="AH196" s="68">
        <v>677461.84</v>
      </c>
    </row>
    <row r="197" spans="22:35" x14ac:dyDescent="0.25">
      <c r="V197" s="66">
        <v>167</v>
      </c>
      <c r="W197" s="67">
        <v>40547.519999999997</v>
      </c>
      <c r="X197" s="67">
        <v>3387</v>
      </c>
      <c r="Y197" s="67">
        <v>37160.519999999997</v>
      </c>
      <c r="Z197" s="68">
        <v>504759.39</v>
      </c>
      <c r="AD197" s="66">
        <v>167</v>
      </c>
      <c r="AE197" s="67">
        <v>50689.04</v>
      </c>
      <c r="AF197" s="67">
        <v>4234.1400000000003</v>
      </c>
      <c r="AG197" s="67">
        <v>46454.9</v>
      </c>
      <c r="AH197" s="68">
        <v>631006.93999999994</v>
      </c>
    </row>
    <row r="198" spans="22:35" x14ac:dyDescent="0.25">
      <c r="V198" s="66">
        <v>168</v>
      </c>
      <c r="W198" s="67">
        <v>40547.519999999997</v>
      </c>
      <c r="X198" s="67">
        <v>3154.75</v>
      </c>
      <c r="Y198" s="67">
        <v>37392.769999999997</v>
      </c>
      <c r="Z198" s="68">
        <v>467366.62</v>
      </c>
      <c r="AA198" s="100">
        <f>Z198</f>
        <v>467366.62</v>
      </c>
      <c r="AD198" s="66">
        <v>168</v>
      </c>
      <c r="AE198" s="67">
        <v>50689.04</v>
      </c>
      <c r="AF198" s="67">
        <v>3943.79</v>
      </c>
      <c r="AG198" s="67">
        <v>46745.24</v>
      </c>
      <c r="AH198" s="68">
        <v>584261.69999999995</v>
      </c>
      <c r="AI198" s="100">
        <f>AH198</f>
        <v>584261.69999999995</v>
      </c>
    </row>
    <row r="199" spans="22:35" x14ac:dyDescent="0.25">
      <c r="V199" s="66">
        <v>169</v>
      </c>
      <c r="W199" s="67">
        <v>40547.519999999997</v>
      </c>
      <c r="X199" s="67">
        <v>2921.04</v>
      </c>
      <c r="Y199" s="67">
        <v>37626.480000000003</v>
      </c>
      <c r="Z199" s="68">
        <v>429740.14</v>
      </c>
      <c r="AD199" s="66">
        <v>169</v>
      </c>
      <c r="AE199" s="67">
        <v>50689.04</v>
      </c>
      <c r="AF199" s="67">
        <v>3651.64</v>
      </c>
      <c r="AG199" s="67">
        <v>47037.4</v>
      </c>
      <c r="AH199" s="68">
        <v>537224.30000000005</v>
      </c>
    </row>
    <row r="200" spans="22:35" x14ac:dyDescent="0.25">
      <c r="V200" s="66">
        <v>170</v>
      </c>
      <c r="W200" s="67">
        <v>40547.519999999997</v>
      </c>
      <c r="X200" s="67">
        <v>2685.88</v>
      </c>
      <c r="Y200" s="67">
        <v>37861.64</v>
      </c>
      <c r="Z200" s="68">
        <v>391878.5</v>
      </c>
      <c r="AD200" s="66">
        <v>170</v>
      </c>
      <c r="AE200" s="67">
        <v>50689.04</v>
      </c>
      <c r="AF200" s="67">
        <v>3357.65</v>
      </c>
      <c r="AG200" s="67">
        <v>47331.38</v>
      </c>
      <c r="AH200" s="68">
        <v>489892.92</v>
      </c>
    </row>
    <row r="201" spans="22:35" x14ac:dyDescent="0.25">
      <c r="V201" s="66">
        <v>171</v>
      </c>
      <c r="W201" s="67">
        <v>40547.519999999997</v>
      </c>
      <c r="X201" s="67">
        <v>2449.2399999999998</v>
      </c>
      <c r="Y201" s="67">
        <v>38098.28</v>
      </c>
      <c r="Z201" s="68">
        <v>353780.22</v>
      </c>
      <c r="AD201" s="66">
        <v>171</v>
      </c>
      <c r="AE201" s="67">
        <v>50689.04</v>
      </c>
      <c r="AF201" s="67">
        <v>3061.83</v>
      </c>
      <c r="AG201" s="67">
        <v>47627.21</v>
      </c>
      <c r="AH201" s="68">
        <v>442265.71</v>
      </c>
    </row>
    <row r="202" spans="22:35" x14ac:dyDescent="0.25">
      <c r="V202" s="66">
        <v>172</v>
      </c>
      <c r="W202" s="67">
        <v>40547.519999999997</v>
      </c>
      <c r="X202" s="67">
        <v>2211.13</v>
      </c>
      <c r="Y202" s="67">
        <v>38336.39</v>
      </c>
      <c r="Z202" s="68">
        <v>315443.82</v>
      </c>
      <c r="AD202" s="66">
        <v>172</v>
      </c>
      <c r="AE202" s="67">
        <v>50689.04</v>
      </c>
      <c r="AF202" s="67">
        <v>2764.16</v>
      </c>
      <c r="AG202" s="67">
        <v>47924.88</v>
      </c>
      <c r="AH202" s="68">
        <v>394340.84</v>
      </c>
    </row>
    <row r="203" spans="22:35" x14ac:dyDescent="0.25">
      <c r="V203" s="66">
        <v>173</v>
      </c>
      <c r="W203" s="67">
        <v>40547.519999999997</v>
      </c>
      <c r="X203" s="67">
        <v>1971.52</v>
      </c>
      <c r="Y203" s="67">
        <v>38576</v>
      </c>
      <c r="Z203" s="68">
        <v>276867.82</v>
      </c>
      <c r="AD203" s="66">
        <v>173</v>
      </c>
      <c r="AE203" s="67">
        <v>50689.04</v>
      </c>
      <c r="AF203" s="67">
        <v>2464.63</v>
      </c>
      <c r="AG203" s="67">
        <v>48224.41</v>
      </c>
      <c r="AH203" s="68">
        <v>346116.43</v>
      </c>
    </row>
    <row r="204" spans="22:35" x14ac:dyDescent="0.25">
      <c r="V204" s="66">
        <v>174</v>
      </c>
      <c r="W204" s="67">
        <v>40547.519999999997</v>
      </c>
      <c r="X204" s="67">
        <v>1730.42</v>
      </c>
      <c r="Y204" s="67">
        <v>38817.1</v>
      </c>
      <c r="Z204" s="68">
        <v>238050.73</v>
      </c>
      <c r="AD204" s="66">
        <v>174</v>
      </c>
      <c r="AE204" s="67">
        <v>50689.04</v>
      </c>
      <c r="AF204" s="67">
        <v>2163.23</v>
      </c>
      <c r="AG204" s="67">
        <v>48525.81</v>
      </c>
      <c r="AH204" s="68">
        <v>297590.62</v>
      </c>
    </row>
    <row r="205" spans="22:35" x14ac:dyDescent="0.25">
      <c r="V205" s="66">
        <v>175</v>
      </c>
      <c r="W205" s="67">
        <v>40547.519999999997</v>
      </c>
      <c r="X205" s="67">
        <v>1487.82</v>
      </c>
      <c r="Y205" s="67">
        <v>39059.699999999997</v>
      </c>
      <c r="Z205" s="68">
        <v>198991.02</v>
      </c>
      <c r="AD205" s="66">
        <v>175</v>
      </c>
      <c r="AE205" s="67">
        <v>50689.04</v>
      </c>
      <c r="AF205" s="67">
        <v>1859.94</v>
      </c>
      <c r="AG205" s="67">
        <v>48829.09</v>
      </c>
      <c r="AH205" s="68">
        <v>248761.53</v>
      </c>
    </row>
    <row r="206" spans="22:35" x14ac:dyDescent="0.25">
      <c r="V206" s="66">
        <v>176</v>
      </c>
      <c r="W206" s="67">
        <v>40547.519999999997</v>
      </c>
      <c r="X206" s="67">
        <v>1243.69</v>
      </c>
      <c r="Y206" s="67">
        <v>39303.83</v>
      </c>
      <c r="Z206" s="68">
        <v>159687.20000000001</v>
      </c>
      <c r="AD206" s="66">
        <v>176</v>
      </c>
      <c r="AE206" s="67">
        <v>50689.04</v>
      </c>
      <c r="AF206" s="67">
        <v>1554.76</v>
      </c>
      <c r="AG206" s="67">
        <v>49134.28</v>
      </c>
      <c r="AH206" s="68">
        <v>199627.25</v>
      </c>
    </row>
    <row r="207" spans="22:35" x14ac:dyDescent="0.25">
      <c r="V207" s="66">
        <v>177</v>
      </c>
      <c r="W207" s="67">
        <v>40547.519999999997</v>
      </c>
      <c r="X207" s="72">
        <v>998.04</v>
      </c>
      <c r="Y207" s="67">
        <v>39549.480000000003</v>
      </c>
      <c r="Z207" s="68">
        <v>120137.72</v>
      </c>
      <c r="AD207" s="66">
        <v>177</v>
      </c>
      <c r="AE207" s="67">
        <v>50689.04</v>
      </c>
      <c r="AF207" s="67">
        <v>1247.67</v>
      </c>
      <c r="AG207" s="67">
        <v>49441.37</v>
      </c>
      <c r="AH207" s="68">
        <v>150185.89000000001</v>
      </c>
    </row>
    <row r="208" spans="22:35" x14ac:dyDescent="0.25">
      <c r="V208" s="66">
        <v>178</v>
      </c>
      <c r="W208" s="67">
        <v>40547.519999999997</v>
      </c>
      <c r="X208" s="72">
        <v>750.86</v>
      </c>
      <c r="Y208" s="67">
        <v>39796.660000000003</v>
      </c>
      <c r="Z208" s="68">
        <v>80341.06</v>
      </c>
      <c r="AD208" s="66">
        <v>178</v>
      </c>
      <c r="AE208" s="67">
        <v>50689.04</v>
      </c>
      <c r="AF208" s="72">
        <v>938.66</v>
      </c>
      <c r="AG208" s="67">
        <v>49750.37</v>
      </c>
      <c r="AH208" s="68">
        <v>100435.51</v>
      </c>
    </row>
    <row r="209" spans="22:35" x14ac:dyDescent="0.25">
      <c r="V209" s="66">
        <v>179</v>
      </c>
      <c r="W209" s="67">
        <v>40547.519999999997</v>
      </c>
      <c r="X209" s="72">
        <v>502.13</v>
      </c>
      <c r="Y209" s="67">
        <v>40045.39</v>
      </c>
      <c r="Z209" s="68">
        <v>40295.67</v>
      </c>
      <c r="AD209" s="66">
        <v>179</v>
      </c>
      <c r="AE209" s="67">
        <v>50689.04</v>
      </c>
      <c r="AF209" s="72">
        <v>627.72</v>
      </c>
      <c r="AG209" s="67">
        <v>50061.31</v>
      </c>
      <c r="AH209" s="68">
        <v>50374.2</v>
      </c>
    </row>
    <row r="210" spans="22:35" ht="15.75" thickBot="1" x14ac:dyDescent="0.3">
      <c r="V210" s="69">
        <v>180</v>
      </c>
      <c r="W210" s="70">
        <v>40547.519999999997</v>
      </c>
      <c r="X210" s="75">
        <v>251.85</v>
      </c>
      <c r="Y210" s="70">
        <v>40295.67</v>
      </c>
      <c r="Z210" s="71">
        <v>0</v>
      </c>
      <c r="AA210" s="100">
        <f>Z210</f>
        <v>0</v>
      </c>
      <c r="AD210" s="69">
        <v>180</v>
      </c>
      <c r="AE210" s="70">
        <v>50689.04</v>
      </c>
      <c r="AF210" s="75">
        <v>314.83999999999997</v>
      </c>
      <c r="AG210" s="70">
        <v>50374.2</v>
      </c>
      <c r="AH210" s="71">
        <v>0</v>
      </c>
      <c r="AI210" s="100">
        <f>AH210</f>
        <v>0</v>
      </c>
    </row>
  </sheetData>
  <mergeCells count="39">
    <mergeCell ref="J70:J71"/>
    <mergeCell ref="E68:E69"/>
    <mergeCell ref="F68:F69"/>
    <mergeCell ref="G68:G69"/>
    <mergeCell ref="H68:H69"/>
    <mergeCell ref="I68:I69"/>
    <mergeCell ref="J68:J69"/>
    <mergeCell ref="E70:E71"/>
    <mergeCell ref="F70:F71"/>
    <mergeCell ref="G70:G71"/>
    <mergeCell ref="H70:H71"/>
    <mergeCell ref="I70:I71"/>
    <mergeCell ref="J66:J67"/>
    <mergeCell ref="E64:E65"/>
    <mergeCell ref="F64:F65"/>
    <mergeCell ref="G64:G65"/>
    <mergeCell ref="H64:H65"/>
    <mergeCell ref="I64:I65"/>
    <mergeCell ref="J64:J65"/>
    <mergeCell ref="E66:E67"/>
    <mergeCell ref="F66:F67"/>
    <mergeCell ref="G66:G67"/>
    <mergeCell ref="H66:H67"/>
    <mergeCell ref="I66:I67"/>
    <mergeCell ref="J62:J63"/>
    <mergeCell ref="V27:Z28"/>
    <mergeCell ref="AD27:AH28"/>
    <mergeCell ref="A30:A31"/>
    <mergeCell ref="E60:E61"/>
    <mergeCell ref="F60:F61"/>
    <mergeCell ref="G60:G61"/>
    <mergeCell ref="H60:H61"/>
    <mergeCell ref="I60:I61"/>
    <mergeCell ref="J60:J61"/>
    <mergeCell ref="E62:E63"/>
    <mergeCell ref="F62:F63"/>
    <mergeCell ref="G62:G63"/>
    <mergeCell ref="H62:H63"/>
    <mergeCell ref="I62:I63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5000-460B-4B79-ADFF-095FE8CCBECE}">
  <sheetPr>
    <pageSetUpPr fitToPage="1"/>
  </sheetPr>
  <dimension ref="A2:S47"/>
  <sheetViews>
    <sheetView zoomScale="85" zoomScaleNormal="85" workbookViewId="0">
      <selection activeCell="B2" sqref="B2"/>
    </sheetView>
  </sheetViews>
  <sheetFormatPr defaultColWidth="8.7109375" defaultRowHeight="15" x14ac:dyDescent="0.25"/>
  <cols>
    <col min="1" max="1" width="5.85546875" customWidth="1"/>
    <col min="2" max="2" width="14" customWidth="1"/>
    <col min="3" max="3" width="21.7109375" bestFit="1" customWidth="1"/>
    <col min="4" max="4" width="12.28515625" bestFit="1" customWidth="1"/>
    <col min="5" max="14" width="11.7109375" bestFit="1" customWidth="1"/>
    <col min="15" max="15" width="12" customWidth="1"/>
    <col min="16" max="19" width="11.7109375" bestFit="1" customWidth="1"/>
  </cols>
  <sheetData>
    <row r="2" spans="1:19" x14ac:dyDescent="0.25">
      <c r="B2" s="13"/>
      <c r="C2" t="s">
        <v>18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</row>
    <row r="4" spans="1:19" ht="15" customHeight="1" x14ac:dyDescent="0.25">
      <c r="B4" s="118"/>
      <c r="C4" t="s">
        <v>0</v>
      </c>
      <c r="H4" s="1">
        <v>0</v>
      </c>
      <c r="K4" s="1">
        <v>0</v>
      </c>
      <c r="N4" s="1">
        <v>0</v>
      </c>
    </row>
    <row r="5" spans="1:19" ht="15" customHeight="1" x14ac:dyDescent="0.25">
      <c r="B5" s="118"/>
      <c r="C5" t="s">
        <v>1</v>
      </c>
      <c r="D5" s="2">
        <v>2026</v>
      </c>
      <c r="E5" s="2">
        <v>2027</v>
      </c>
      <c r="F5" s="2">
        <v>2028</v>
      </c>
      <c r="G5" s="2">
        <v>2029</v>
      </c>
      <c r="H5" s="2">
        <v>2030</v>
      </c>
      <c r="I5" s="2">
        <v>2031</v>
      </c>
      <c r="J5" s="2">
        <v>2032</v>
      </c>
      <c r="K5" s="2">
        <v>2033</v>
      </c>
      <c r="L5" s="2">
        <v>2034</v>
      </c>
      <c r="M5" s="2">
        <v>2035</v>
      </c>
      <c r="N5" s="2">
        <v>2036</v>
      </c>
      <c r="O5" s="2"/>
      <c r="P5" s="2"/>
      <c r="Q5" s="2"/>
      <c r="R5" s="2"/>
      <c r="S5" s="2"/>
    </row>
    <row r="6" spans="1:19" ht="15" customHeight="1" x14ac:dyDescent="0.25">
      <c r="B6" s="118"/>
      <c r="D6" s="3"/>
      <c r="E6" s="26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</row>
    <row r="7" spans="1:19" ht="15" customHeight="1" x14ac:dyDescent="0.25">
      <c r="B7" s="118"/>
      <c r="D7" s="3"/>
      <c r="E7" s="27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</row>
    <row r="8" spans="1:19" ht="15.75" thickBot="1" x14ac:dyDescent="0.3">
      <c r="B8" s="102"/>
      <c r="C8" t="s">
        <v>49</v>
      </c>
      <c r="D8" s="3"/>
      <c r="E8" s="28">
        <f>(D23+B13+B10)*12</f>
        <v>203496</v>
      </c>
      <c r="F8" s="28">
        <f>E8</f>
        <v>203496</v>
      </c>
      <c r="G8" s="28">
        <f t="shared" ref="G8:N8" si="0">F8</f>
        <v>203496</v>
      </c>
      <c r="H8" s="28">
        <f t="shared" si="0"/>
        <v>203496</v>
      </c>
      <c r="I8" s="28">
        <f t="shared" si="0"/>
        <v>203496</v>
      </c>
      <c r="J8" s="28">
        <f t="shared" si="0"/>
        <v>203496</v>
      </c>
      <c r="K8" s="28">
        <f t="shared" si="0"/>
        <v>203496</v>
      </c>
      <c r="L8" s="28">
        <f t="shared" si="0"/>
        <v>203496</v>
      </c>
      <c r="M8" s="28">
        <f t="shared" si="0"/>
        <v>203496</v>
      </c>
      <c r="N8" s="28">
        <f t="shared" si="0"/>
        <v>203496</v>
      </c>
      <c r="O8" s="28"/>
      <c r="P8" s="28"/>
      <c r="Q8" s="28"/>
      <c r="R8" s="28"/>
      <c r="S8" s="28"/>
    </row>
    <row r="9" spans="1:19" ht="15.75" customHeight="1" thickBot="1" x14ac:dyDescent="0.3">
      <c r="C9" s="7" t="s">
        <v>7</v>
      </c>
      <c r="D9" s="8"/>
      <c r="E9" s="30">
        <f>E8</f>
        <v>203496</v>
      </c>
      <c r="F9" s="30">
        <f t="shared" ref="F9:N9" si="1">F8</f>
        <v>203496</v>
      </c>
      <c r="G9" s="30">
        <f t="shared" si="1"/>
        <v>203496</v>
      </c>
      <c r="H9" s="30">
        <f t="shared" si="1"/>
        <v>203496</v>
      </c>
      <c r="I9" s="30">
        <f t="shared" si="1"/>
        <v>203496</v>
      </c>
      <c r="J9" s="30">
        <f t="shared" si="1"/>
        <v>203496</v>
      </c>
      <c r="K9" s="30">
        <f t="shared" si="1"/>
        <v>203496</v>
      </c>
      <c r="L9" s="30">
        <f t="shared" si="1"/>
        <v>203496</v>
      </c>
      <c r="M9" s="30">
        <f t="shared" si="1"/>
        <v>203496</v>
      </c>
      <c r="N9" s="30">
        <f t="shared" si="1"/>
        <v>203496</v>
      </c>
      <c r="O9" s="30"/>
      <c r="P9" s="30"/>
      <c r="Q9" s="30"/>
      <c r="R9" s="30"/>
      <c r="S9" s="30"/>
    </row>
    <row r="10" spans="1:19" ht="15.75" customHeight="1" x14ac:dyDescent="0.25">
      <c r="B10" s="4">
        <v>1300</v>
      </c>
      <c r="C10" t="s">
        <v>54</v>
      </c>
      <c r="D10" s="3"/>
      <c r="E10" s="103">
        <f>$B$10*12</f>
        <v>15600</v>
      </c>
      <c r="F10" s="103">
        <f>E10</f>
        <v>15600</v>
      </c>
      <c r="G10" s="103">
        <f t="shared" ref="G10:N11" si="2">F10</f>
        <v>15600</v>
      </c>
      <c r="H10" s="103">
        <f t="shared" si="2"/>
        <v>15600</v>
      </c>
      <c r="I10" s="103">
        <f t="shared" si="2"/>
        <v>15600</v>
      </c>
      <c r="J10" s="103">
        <f t="shared" si="2"/>
        <v>15600</v>
      </c>
      <c r="K10" s="103">
        <f t="shared" si="2"/>
        <v>15600</v>
      </c>
      <c r="L10" s="103">
        <f t="shared" si="2"/>
        <v>15600</v>
      </c>
      <c r="M10" s="103">
        <f t="shared" si="2"/>
        <v>15600</v>
      </c>
      <c r="N10" s="103">
        <f t="shared" si="2"/>
        <v>15600</v>
      </c>
      <c r="O10" s="103"/>
      <c r="P10" s="103"/>
      <c r="Q10" s="103"/>
      <c r="R10" s="103"/>
      <c r="S10" s="103"/>
    </row>
    <row r="11" spans="1:19" ht="15.75" customHeight="1" x14ac:dyDescent="0.25">
      <c r="A11" s="104"/>
      <c r="B11" s="4">
        <v>12000</v>
      </c>
      <c r="C11" s="105" t="s">
        <v>50</v>
      </c>
      <c r="D11" s="2"/>
      <c r="E11" s="28">
        <f>B11</f>
        <v>12000</v>
      </c>
      <c r="F11" s="28">
        <f>E11</f>
        <v>12000</v>
      </c>
      <c r="G11" s="28">
        <f t="shared" si="2"/>
        <v>12000</v>
      </c>
      <c r="H11" s="28">
        <f t="shared" si="2"/>
        <v>12000</v>
      </c>
      <c r="I11" s="28">
        <f t="shared" si="2"/>
        <v>12000</v>
      </c>
      <c r="J11" s="28">
        <f t="shared" si="2"/>
        <v>12000</v>
      </c>
      <c r="K11" s="28">
        <f t="shared" si="2"/>
        <v>12000</v>
      </c>
      <c r="L11" s="28">
        <f t="shared" si="2"/>
        <v>12000</v>
      </c>
      <c r="M11" s="28">
        <f t="shared" si="2"/>
        <v>12000</v>
      </c>
      <c r="N11" s="28">
        <f t="shared" si="2"/>
        <v>12000</v>
      </c>
      <c r="O11" s="28"/>
      <c r="P11" s="28"/>
      <c r="Q11" s="28"/>
      <c r="R11" s="28"/>
      <c r="S11" s="28"/>
    </row>
    <row r="12" spans="1:19" ht="15.75" customHeight="1" x14ac:dyDescent="0.25">
      <c r="C12" s="2" t="s">
        <v>9</v>
      </c>
      <c r="D12" s="2"/>
      <c r="E12" s="28">
        <f>E9-E10-E11</f>
        <v>175896</v>
      </c>
      <c r="F12" s="28">
        <f t="shared" ref="F12:N12" si="3">F9-F10-F11</f>
        <v>175896</v>
      </c>
      <c r="G12" s="28">
        <f t="shared" si="3"/>
        <v>175896</v>
      </c>
      <c r="H12" s="28">
        <f t="shared" si="3"/>
        <v>175896</v>
      </c>
      <c r="I12" s="28">
        <f t="shared" si="3"/>
        <v>175896</v>
      </c>
      <c r="J12" s="28">
        <f t="shared" si="3"/>
        <v>175896</v>
      </c>
      <c r="K12" s="28">
        <f t="shared" si="3"/>
        <v>175896</v>
      </c>
      <c r="L12" s="28">
        <f t="shared" si="3"/>
        <v>175896</v>
      </c>
      <c r="M12" s="28">
        <f t="shared" si="3"/>
        <v>175896</v>
      </c>
      <c r="N12" s="28">
        <f t="shared" si="3"/>
        <v>175896</v>
      </c>
      <c r="O12" s="28"/>
      <c r="P12" s="28"/>
      <c r="Q12" s="28"/>
      <c r="R12" s="28"/>
      <c r="S12" s="28"/>
    </row>
    <row r="13" spans="1:19" ht="15.75" customHeight="1" thickBot="1" x14ac:dyDescent="0.3">
      <c r="B13" s="4">
        <v>11158</v>
      </c>
      <c r="C13" t="s">
        <v>10</v>
      </c>
      <c r="D13" s="3"/>
      <c r="E13" s="29">
        <f>$B$13*12</f>
        <v>133896</v>
      </c>
      <c r="F13" s="29">
        <f t="shared" ref="F13:N13" si="4">$B$13*12</f>
        <v>133896</v>
      </c>
      <c r="G13" s="29">
        <f t="shared" si="4"/>
        <v>133896</v>
      </c>
      <c r="H13" s="29">
        <f t="shared" si="4"/>
        <v>133896</v>
      </c>
      <c r="I13" s="29">
        <f t="shared" si="4"/>
        <v>133896</v>
      </c>
      <c r="J13" s="29">
        <f t="shared" si="4"/>
        <v>133896</v>
      </c>
      <c r="K13" s="29">
        <f t="shared" si="4"/>
        <v>133896</v>
      </c>
      <c r="L13" s="29">
        <f t="shared" si="4"/>
        <v>133896</v>
      </c>
      <c r="M13" s="29">
        <f t="shared" si="4"/>
        <v>133896</v>
      </c>
      <c r="N13" s="29">
        <f t="shared" si="4"/>
        <v>133896</v>
      </c>
      <c r="O13" s="29"/>
      <c r="P13" s="29"/>
      <c r="Q13" s="29"/>
      <c r="R13" s="29"/>
      <c r="S13" s="29"/>
    </row>
    <row r="14" spans="1:19" ht="15.75" customHeight="1" thickBot="1" x14ac:dyDescent="0.3">
      <c r="C14" s="34" t="s">
        <v>11</v>
      </c>
      <c r="D14" s="31"/>
      <c r="E14" s="32">
        <f t="shared" ref="E14:N14" si="5">E12/E13</f>
        <v>1.3136762860727729</v>
      </c>
      <c r="F14" s="32">
        <f t="shared" si="5"/>
        <v>1.3136762860727729</v>
      </c>
      <c r="G14" s="32">
        <f t="shared" si="5"/>
        <v>1.3136762860727729</v>
      </c>
      <c r="H14" s="32">
        <f t="shared" si="5"/>
        <v>1.3136762860727729</v>
      </c>
      <c r="I14" s="32">
        <f t="shared" si="5"/>
        <v>1.3136762860727729</v>
      </c>
      <c r="J14" s="32">
        <f t="shared" si="5"/>
        <v>1.3136762860727729</v>
      </c>
      <c r="K14" s="32">
        <f t="shared" si="5"/>
        <v>1.3136762860727729</v>
      </c>
      <c r="L14" s="32">
        <f t="shared" si="5"/>
        <v>1.3136762860727729</v>
      </c>
      <c r="M14" s="32">
        <f t="shared" si="5"/>
        <v>1.3136762860727729</v>
      </c>
      <c r="N14" s="33">
        <f t="shared" si="5"/>
        <v>1.3136762860727729</v>
      </c>
      <c r="O14" s="106"/>
      <c r="P14" s="106"/>
      <c r="Q14" s="106"/>
      <c r="R14" s="106"/>
      <c r="S14" s="106"/>
    </row>
    <row r="16" spans="1:19" x14ac:dyDescent="0.25">
      <c r="C16" s="22" t="s">
        <v>12</v>
      </c>
      <c r="D16" s="23"/>
      <c r="E16" s="24">
        <f t="shared" ref="E16:N16" si="6">E12-E13</f>
        <v>42000</v>
      </c>
      <c r="F16" s="24">
        <f t="shared" si="6"/>
        <v>42000</v>
      </c>
      <c r="G16" s="24">
        <f t="shared" si="6"/>
        <v>42000</v>
      </c>
      <c r="H16" s="24">
        <f t="shared" si="6"/>
        <v>42000</v>
      </c>
      <c r="I16" s="24">
        <f t="shared" si="6"/>
        <v>42000</v>
      </c>
      <c r="J16" s="24">
        <f t="shared" si="6"/>
        <v>42000</v>
      </c>
      <c r="K16" s="24">
        <f t="shared" si="6"/>
        <v>42000</v>
      </c>
      <c r="L16" s="24">
        <f t="shared" si="6"/>
        <v>42000</v>
      </c>
      <c r="M16" s="24">
        <f t="shared" si="6"/>
        <v>42000</v>
      </c>
      <c r="N16" s="25">
        <f t="shared" si="6"/>
        <v>42000</v>
      </c>
      <c r="O16" s="24"/>
      <c r="P16" s="24"/>
      <c r="Q16" s="24"/>
      <c r="R16" s="24"/>
      <c r="S16" s="25"/>
    </row>
    <row r="17" spans="1:19" x14ac:dyDescent="0.25">
      <c r="C17" s="107"/>
      <c r="E17" s="5"/>
      <c r="F17" s="5"/>
      <c r="G17" s="5"/>
      <c r="H17" s="5"/>
      <c r="I17" s="5"/>
      <c r="J17" s="5"/>
      <c r="K17" s="5"/>
      <c r="L17" s="5"/>
      <c r="M17" s="5"/>
      <c r="N17" s="5"/>
      <c r="S17" s="108"/>
    </row>
    <row r="18" spans="1:19" x14ac:dyDescent="0.25">
      <c r="C18" s="15" t="s">
        <v>13</v>
      </c>
      <c r="D18" s="16">
        <f>-E29</f>
        <v>-235200</v>
      </c>
      <c r="E18" s="17">
        <f t="shared" ref="E18:N18" si="7">E16</f>
        <v>42000</v>
      </c>
      <c r="F18" s="17">
        <f t="shared" si="7"/>
        <v>42000</v>
      </c>
      <c r="G18" s="17">
        <f t="shared" si="7"/>
        <v>42000</v>
      </c>
      <c r="H18" s="17">
        <f t="shared" si="7"/>
        <v>42000</v>
      </c>
      <c r="I18" s="17">
        <f t="shared" si="7"/>
        <v>42000</v>
      </c>
      <c r="J18" s="17">
        <f t="shared" si="7"/>
        <v>42000</v>
      </c>
      <c r="K18" s="17">
        <f t="shared" si="7"/>
        <v>42000</v>
      </c>
      <c r="L18" s="17">
        <f t="shared" si="7"/>
        <v>42000</v>
      </c>
      <c r="M18" s="17">
        <f t="shared" si="7"/>
        <v>42000</v>
      </c>
      <c r="N18" s="17">
        <f t="shared" si="7"/>
        <v>42000</v>
      </c>
      <c r="O18" s="17"/>
      <c r="P18" s="17"/>
      <c r="Q18" s="17"/>
      <c r="R18" s="17"/>
      <c r="S18" s="18"/>
    </row>
    <row r="19" spans="1:19" x14ac:dyDescent="0.25">
      <c r="C19" s="19" t="s">
        <v>14</v>
      </c>
      <c r="D19" s="20">
        <f>IRR(D18:N18)</f>
        <v>0.12218688087111551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21"/>
    </row>
    <row r="22" spans="1:19" x14ac:dyDescent="0.25">
      <c r="C22" t="s">
        <v>17</v>
      </c>
      <c r="D22" s="5">
        <f>B13</f>
        <v>11158</v>
      </c>
    </row>
    <row r="23" spans="1:19" x14ac:dyDescent="0.25">
      <c r="A23" s="55"/>
      <c r="B23" s="55"/>
      <c r="C23" t="s">
        <v>51</v>
      </c>
      <c r="D23" s="109">
        <v>4500</v>
      </c>
    </row>
    <row r="24" spans="1:19" x14ac:dyDescent="0.25">
      <c r="A24" s="55"/>
      <c r="B24" s="55"/>
      <c r="C24" t="s">
        <v>53</v>
      </c>
      <c r="D24" s="11">
        <f>B10</f>
        <v>1300</v>
      </c>
      <c r="S24" s="47"/>
    </row>
    <row r="25" spans="1:19" x14ac:dyDescent="0.25">
      <c r="C25" t="s">
        <v>7</v>
      </c>
      <c r="D25" s="5">
        <f>D23+B13+D24</f>
        <v>16958</v>
      </c>
    </row>
    <row r="26" spans="1:19" x14ac:dyDescent="0.25">
      <c r="C26" s="11"/>
    </row>
    <row r="27" spans="1:19" x14ac:dyDescent="0.25">
      <c r="A27" s="10"/>
      <c r="C27" s="11"/>
      <c r="S27" s="11"/>
    </row>
    <row r="28" spans="1:19" x14ac:dyDescent="0.25">
      <c r="C28" s="110">
        <v>1</v>
      </c>
      <c r="D28" s="111" t="s">
        <v>15</v>
      </c>
      <c r="E28" s="112">
        <f>E37</f>
        <v>1176000</v>
      </c>
      <c r="S28" s="11"/>
    </row>
    <row r="29" spans="1:19" x14ac:dyDescent="0.25">
      <c r="C29" s="113">
        <v>0.2</v>
      </c>
      <c r="D29" s="2" t="s">
        <v>16</v>
      </c>
      <c r="E29" s="28">
        <f>E28*C29</f>
        <v>235200</v>
      </c>
      <c r="F29" s="10"/>
    </row>
    <row r="30" spans="1:19" x14ac:dyDescent="0.25">
      <c r="C30" s="113">
        <v>0.8</v>
      </c>
      <c r="D30" s="2" t="s">
        <v>17</v>
      </c>
      <c r="E30" s="28">
        <f>E28-E29</f>
        <v>940800</v>
      </c>
      <c r="F30" s="55"/>
      <c r="Q30" s="10"/>
      <c r="S30" s="11"/>
    </row>
    <row r="31" spans="1:19" x14ac:dyDescent="0.25">
      <c r="E31" s="11"/>
      <c r="F31" s="11"/>
    </row>
    <row r="32" spans="1:19" x14ac:dyDescent="0.25">
      <c r="A32" s="37"/>
      <c r="B32" s="37"/>
      <c r="C32" s="114"/>
      <c r="E32" s="11"/>
      <c r="F32" s="11"/>
      <c r="R32" s="51"/>
      <c r="S32" s="11"/>
    </row>
    <row r="33" spans="1:11" x14ac:dyDescent="0.25">
      <c r="A33" s="37"/>
      <c r="B33" s="37"/>
      <c r="C33" s="52"/>
      <c r="F33" s="10"/>
    </row>
    <row r="34" spans="1:11" x14ac:dyDescent="0.25">
      <c r="B34" s="10"/>
      <c r="D34" s="5" t="s">
        <v>23</v>
      </c>
      <c r="E34" t="s">
        <v>30</v>
      </c>
    </row>
    <row r="35" spans="1:11" x14ac:dyDescent="0.25">
      <c r="B35" s="10"/>
      <c r="D35" s="5"/>
      <c r="F35" s="55" t="s">
        <v>29</v>
      </c>
      <c r="H35" s="11"/>
    </row>
    <row r="36" spans="1:11" x14ac:dyDescent="0.25">
      <c r="B36" s="10"/>
      <c r="D36" s="5"/>
      <c r="E36" s="10">
        <v>1.47</v>
      </c>
      <c r="F36" s="10">
        <v>0.04</v>
      </c>
      <c r="H36" s="5"/>
    </row>
    <row r="37" spans="1:11" x14ac:dyDescent="0.25">
      <c r="B37" t="s">
        <v>26</v>
      </c>
      <c r="C37" s="51" t="s">
        <v>31</v>
      </c>
      <c r="D37" s="11">
        <v>800000</v>
      </c>
      <c r="E37" s="11">
        <f>D37*E36</f>
        <v>1176000</v>
      </c>
      <c r="F37" s="11">
        <f>E37*F36</f>
        <v>47040</v>
      </c>
      <c r="H37" s="5"/>
      <c r="J37" s="55"/>
    </row>
    <row r="38" spans="1:11" x14ac:dyDescent="0.25">
      <c r="D38" s="5"/>
      <c r="E38" s="11"/>
      <c r="F38" s="11"/>
      <c r="H38" s="5"/>
      <c r="I38" s="10"/>
      <c r="J38" s="10"/>
    </row>
    <row r="39" spans="1:11" x14ac:dyDescent="0.25">
      <c r="E39" s="37"/>
      <c r="F39" s="53"/>
      <c r="G39" s="37"/>
      <c r="H39" s="11"/>
      <c r="I39" s="11"/>
      <c r="J39" s="11"/>
    </row>
    <row r="40" spans="1:11" x14ac:dyDescent="0.25">
      <c r="C40" t="s">
        <v>27</v>
      </c>
      <c r="D40" s="11">
        <f>D37+D38</f>
        <v>800000</v>
      </c>
      <c r="E40" s="52">
        <f>E37+E38</f>
        <v>1176000</v>
      </c>
      <c r="F40" s="52"/>
      <c r="H40" s="5"/>
      <c r="I40" s="11"/>
      <c r="J40" s="11"/>
    </row>
    <row r="41" spans="1:11" x14ac:dyDescent="0.25">
      <c r="I41" s="37"/>
      <c r="J41" s="53"/>
      <c r="K41" s="37"/>
    </row>
    <row r="42" spans="1:11" x14ac:dyDescent="0.25">
      <c r="D42" t="s">
        <v>28</v>
      </c>
      <c r="E42" s="11">
        <f>E40-D40</f>
        <v>376000</v>
      </c>
      <c r="G42" s="11"/>
      <c r="H42" s="11"/>
      <c r="I42" s="52"/>
      <c r="J42" s="52"/>
      <c r="K42" s="54"/>
    </row>
    <row r="43" spans="1:11" x14ac:dyDescent="0.25">
      <c r="D43" t="s">
        <v>29</v>
      </c>
      <c r="E43" s="11">
        <f>F37</f>
        <v>47040</v>
      </c>
      <c r="G43" s="54"/>
    </row>
    <row r="44" spans="1:11" x14ac:dyDescent="0.25">
      <c r="D44" s="115" t="s">
        <v>52</v>
      </c>
      <c r="E44" s="116">
        <f>E42-E43</f>
        <v>328960</v>
      </c>
      <c r="H44" s="11"/>
    </row>
    <row r="46" spans="1:11" x14ac:dyDescent="0.25">
      <c r="K46" s="11"/>
    </row>
    <row r="47" spans="1:11" x14ac:dyDescent="0.25">
      <c r="K47" s="54"/>
    </row>
  </sheetData>
  <mergeCells count="1">
    <mergeCell ref="B4:B7"/>
  </mergeCells>
  <pageMargins left="0.7" right="0.7" top="0.78749999999999998" bottom="0.78749999999999998" header="0.511811023622047" footer="0.511811023622047"/>
  <pageSetup paperSize="9" scale="4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D936-4C9D-405D-A8B8-14B28FEF3CC8}">
  <dimension ref="A27:AI210"/>
  <sheetViews>
    <sheetView zoomScale="55" zoomScaleNormal="55" workbookViewId="0">
      <selection activeCell="M47" sqref="M47"/>
    </sheetView>
  </sheetViews>
  <sheetFormatPr defaultRowHeight="15" x14ac:dyDescent="0.25"/>
  <cols>
    <col min="1" max="1" width="16.7109375" style="76" customWidth="1"/>
    <col min="2" max="2" width="7" style="76" customWidth="1"/>
    <col min="3" max="3" width="19" style="76" customWidth="1"/>
    <col min="4" max="4" width="3.28515625" style="76" customWidth="1"/>
    <col min="5" max="5" width="12.7109375" style="76" customWidth="1"/>
    <col min="6" max="6" width="13.28515625" style="76" customWidth="1"/>
    <col min="7" max="9" width="14" style="76" customWidth="1"/>
    <col min="10" max="10" width="14.42578125" style="76" customWidth="1"/>
    <col min="11" max="11" width="13.42578125" style="76" customWidth="1"/>
    <col min="12" max="12" width="13.42578125" style="76" bestFit="1" customWidth="1"/>
    <col min="13" max="13" width="12.5703125" style="76" bestFit="1" customWidth="1"/>
    <col min="14" max="14" width="11.42578125" style="76" bestFit="1" customWidth="1"/>
    <col min="15" max="15" width="12.85546875" style="76" customWidth="1"/>
    <col min="16" max="16" width="12.42578125" style="76" customWidth="1"/>
    <col min="17" max="17" width="13" style="76" customWidth="1"/>
    <col min="18" max="20" width="11.28515625" style="76" bestFit="1" customWidth="1"/>
    <col min="21" max="21" width="9.140625" style="76"/>
    <col min="22" max="22" width="6" style="76" bestFit="1" customWidth="1"/>
    <col min="23" max="23" width="12.42578125" style="76" bestFit="1" customWidth="1"/>
    <col min="24" max="24" width="13.42578125" style="76" bestFit="1" customWidth="1"/>
    <col min="25" max="25" width="14.5703125" style="76" bestFit="1" customWidth="1"/>
    <col min="26" max="26" width="15.7109375" style="76" bestFit="1" customWidth="1"/>
    <col min="27" max="27" width="13" style="76" bestFit="1" customWidth="1"/>
    <col min="28" max="29" width="9.140625" style="76"/>
    <col min="30" max="30" width="5.5703125" style="76" bestFit="1" customWidth="1"/>
    <col min="31" max="31" width="13" style="76" customWidth="1"/>
    <col min="32" max="32" width="12.28515625" style="76" bestFit="1" customWidth="1"/>
    <col min="33" max="33" width="13" style="76" bestFit="1" customWidth="1"/>
    <col min="34" max="34" width="15.85546875" style="76" customWidth="1"/>
    <col min="35" max="35" width="12.7109375" style="76" bestFit="1" customWidth="1"/>
    <col min="36" max="16384" width="9.140625" style="76"/>
  </cols>
  <sheetData>
    <row r="27" spans="1:34" x14ac:dyDescent="0.25">
      <c r="V27" s="129" t="s">
        <v>42</v>
      </c>
      <c r="W27" s="130"/>
      <c r="X27" s="130"/>
      <c r="Y27" s="130"/>
      <c r="Z27" s="131"/>
      <c r="AD27" s="129" t="s">
        <v>32</v>
      </c>
      <c r="AE27" s="130"/>
      <c r="AF27" s="130"/>
      <c r="AG27" s="130"/>
      <c r="AH27" s="131"/>
    </row>
    <row r="28" spans="1:34" x14ac:dyDescent="0.25">
      <c r="V28" s="132"/>
      <c r="W28" s="133"/>
      <c r="X28" s="133"/>
      <c r="Y28" s="133"/>
      <c r="Z28" s="134"/>
      <c r="AD28" s="132"/>
      <c r="AE28" s="133"/>
      <c r="AF28" s="133"/>
      <c r="AG28" s="133"/>
      <c r="AH28" s="134"/>
    </row>
    <row r="29" spans="1:34" ht="15.75" thickBot="1" x14ac:dyDescent="0.3"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</row>
    <row r="30" spans="1:34" ht="15" customHeight="1" thickBot="1" x14ac:dyDescent="0.3">
      <c r="A30" s="135"/>
      <c r="E30" s="78">
        <v>1</v>
      </c>
      <c r="F30" s="78">
        <v>2</v>
      </c>
      <c r="G30" s="78">
        <v>3</v>
      </c>
      <c r="H30" s="78">
        <v>4</v>
      </c>
      <c r="I30" s="78">
        <v>5</v>
      </c>
      <c r="J30" s="78">
        <v>6</v>
      </c>
      <c r="K30" s="78">
        <v>7</v>
      </c>
      <c r="L30" s="78">
        <v>8</v>
      </c>
      <c r="M30" s="78">
        <v>9</v>
      </c>
      <c r="N30" s="78">
        <v>10</v>
      </c>
      <c r="O30" s="78">
        <v>11</v>
      </c>
      <c r="P30" s="78">
        <v>12</v>
      </c>
      <c r="Q30" s="78">
        <v>13</v>
      </c>
      <c r="R30" s="78">
        <v>14</v>
      </c>
      <c r="S30" s="79">
        <v>15</v>
      </c>
      <c r="V30" s="63" t="s">
        <v>33</v>
      </c>
      <c r="W30" s="64" t="s">
        <v>34</v>
      </c>
      <c r="X30" s="64" t="s">
        <v>35</v>
      </c>
      <c r="Y30" s="64" t="s">
        <v>36</v>
      </c>
      <c r="Z30" s="65" t="s">
        <v>37</v>
      </c>
      <c r="AD30" s="63" t="s">
        <v>33</v>
      </c>
      <c r="AE30" s="64" t="s">
        <v>34</v>
      </c>
      <c r="AF30" s="64" t="s">
        <v>35</v>
      </c>
      <c r="AG30" s="64" t="s">
        <v>36</v>
      </c>
      <c r="AH30" s="65" t="s">
        <v>37</v>
      </c>
    </row>
    <row r="31" spans="1:34" x14ac:dyDescent="0.25">
      <c r="A31" s="135"/>
      <c r="B31" s="80"/>
      <c r="C31" s="81"/>
      <c r="E31" s="78">
        <v>2027</v>
      </c>
      <c r="F31" s="78">
        <v>2028</v>
      </c>
      <c r="G31" s="78">
        <v>2029</v>
      </c>
      <c r="H31" s="78">
        <v>2030</v>
      </c>
      <c r="I31" s="78">
        <v>2031</v>
      </c>
      <c r="J31" s="78">
        <v>2032</v>
      </c>
      <c r="K31" s="78">
        <v>2033</v>
      </c>
      <c r="L31" s="78">
        <v>2034</v>
      </c>
      <c r="M31" s="78">
        <v>2034</v>
      </c>
      <c r="N31" s="78">
        <v>2034</v>
      </c>
      <c r="O31" s="78">
        <v>2034</v>
      </c>
      <c r="P31" s="78">
        <v>2034</v>
      </c>
      <c r="Q31" s="78">
        <v>2034</v>
      </c>
      <c r="R31" s="78">
        <v>2034</v>
      </c>
      <c r="S31" s="79">
        <v>2034</v>
      </c>
      <c r="V31" s="63">
        <v>1</v>
      </c>
      <c r="W31" s="73">
        <v>13294.6</v>
      </c>
      <c r="X31" s="73">
        <v>7000</v>
      </c>
      <c r="Y31" s="73">
        <v>6294.6</v>
      </c>
      <c r="Z31" s="74">
        <v>1113705.3999999999</v>
      </c>
      <c r="AD31" s="63">
        <v>1</v>
      </c>
      <c r="AE31" s="73">
        <v>16618.25</v>
      </c>
      <c r="AF31" s="73">
        <v>8750</v>
      </c>
      <c r="AG31" s="73">
        <v>7868.25</v>
      </c>
      <c r="AH31" s="74">
        <v>1392131.75</v>
      </c>
    </row>
    <row r="32" spans="1:34" x14ac:dyDescent="0.25">
      <c r="C32" s="82" t="s">
        <v>43</v>
      </c>
      <c r="D32" s="83"/>
      <c r="E32" s="84">
        <f>AI42</f>
        <v>1302266.8</v>
      </c>
      <c r="F32" s="84">
        <f>AI54</f>
        <v>1196946.31</v>
      </c>
      <c r="G32" s="84">
        <f>AI66</f>
        <v>1083449.52</v>
      </c>
      <c r="H32" s="84">
        <f>AI78</f>
        <v>961141.69</v>
      </c>
      <c r="I32" s="84">
        <f>AI90</f>
        <v>829338.77</v>
      </c>
      <c r="J32" s="84">
        <f>AI102</f>
        <v>687303.66</v>
      </c>
      <c r="K32" s="84">
        <f>AI114</f>
        <v>534241.98</v>
      </c>
      <c r="L32" s="84">
        <f>AI126</f>
        <v>369297.74</v>
      </c>
      <c r="M32" s="84">
        <f>AI138</f>
        <v>191548.44</v>
      </c>
      <c r="N32" s="84">
        <f>AI150</f>
        <v>0</v>
      </c>
      <c r="O32" s="84"/>
      <c r="P32" s="84"/>
      <c r="Q32" s="84"/>
      <c r="R32" s="84"/>
      <c r="S32" s="84"/>
      <c r="V32" s="66">
        <v>2</v>
      </c>
      <c r="W32" s="67">
        <v>13294.6</v>
      </c>
      <c r="X32" s="67">
        <v>6960.66</v>
      </c>
      <c r="Y32" s="67">
        <v>6333.94</v>
      </c>
      <c r="Z32" s="68">
        <v>1107371.46</v>
      </c>
      <c r="AD32" s="66">
        <v>2</v>
      </c>
      <c r="AE32" s="67">
        <v>16618.25</v>
      </c>
      <c r="AF32" s="67">
        <v>8700.82</v>
      </c>
      <c r="AG32" s="67">
        <v>7917.42</v>
      </c>
      <c r="AH32" s="68">
        <v>1384214.33</v>
      </c>
    </row>
    <row r="33" spans="1:35" x14ac:dyDescent="0.25">
      <c r="B33" s="85">
        <v>0.01</v>
      </c>
      <c r="C33" s="86" t="s">
        <v>44</v>
      </c>
      <c r="E33" s="87">
        <f>E32*B33</f>
        <v>13022.668000000001</v>
      </c>
      <c r="F33" s="84">
        <f>$E$33*F30</f>
        <v>26045.336000000003</v>
      </c>
      <c r="G33" s="84">
        <f t="shared" ref="G33:N33" si="0">$E$33*G30</f>
        <v>39068.004000000001</v>
      </c>
      <c r="H33" s="84">
        <f t="shared" si="0"/>
        <v>52090.672000000006</v>
      </c>
      <c r="I33" s="84">
        <f t="shared" si="0"/>
        <v>65113.340000000011</v>
      </c>
      <c r="J33" s="84">
        <f t="shared" si="0"/>
        <v>78136.008000000002</v>
      </c>
      <c r="K33" s="84">
        <f t="shared" si="0"/>
        <v>91158.676000000007</v>
      </c>
      <c r="L33" s="84">
        <f t="shared" si="0"/>
        <v>104181.34400000001</v>
      </c>
      <c r="M33" s="84">
        <f t="shared" si="0"/>
        <v>117204.01200000002</v>
      </c>
      <c r="N33" s="84">
        <f t="shared" si="0"/>
        <v>130226.68000000002</v>
      </c>
      <c r="O33" s="84"/>
      <c r="P33" s="84"/>
      <c r="Q33" s="84"/>
      <c r="R33" s="84"/>
      <c r="S33" s="84"/>
      <c r="T33" s="88"/>
      <c r="V33" s="66">
        <v>3</v>
      </c>
      <c r="W33" s="67">
        <v>13294.6</v>
      </c>
      <c r="X33" s="67">
        <v>6921.07</v>
      </c>
      <c r="Y33" s="67">
        <v>6373.53</v>
      </c>
      <c r="Z33" s="68">
        <v>1100997.94</v>
      </c>
      <c r="AD33" s="66">
        <v>3</v>
      </c>
      <c r="AE33" s="67">
        <v>16618.25</v>
      </c>
      <c r="AF33" s="67">
        <v>8651.34</v>
      </c>
      <c r="AG33" s="67">
        <v>7966.91</v>
      </c>
      <c r="AH33" s="68">
        <v>1376247.42</v>
      </c>
    </row>
    <row r="34" spans="1:35" x14ac:dyDescent="0.25">
      <c r="B34" s="88"/>
      <c r="C34" s="89" t="s">
        <v>45</v>
      </c>
      <c r="D34" s="90"/>
      <c r="E34" s="91">
        <f>E32+E33</f>
        <v>1315289.4680000001</v>
      </c>
      <c r="F34" s="91">
        <f t="shared" ref="F34:M34" si="1">F32+F33</f>
        <v>1222991.6459999999</v>
      </c>
      <c r="G34" s="91">
        <f t="shared" si="1"/>
        <v>1122517.524</v>
      </c>
      <c r="H34" s="91">
        <f t="shared" si="1"/>
        <v>1013232.362</v>
      </c>
      <c r="I34" s="91">
        <f t="shared" si="1"/>
        <v>894452.11</v>
      </c>
      <c r="J34" s="91">
        <f t="shared" si="1"/>
        <v>765439.66800000006</v>
      </c>
      <c r="K34" s="91">
        <f t="shared" si="1"/>
        <v>625400.65599999996</v>
      </c>
      <c r="L34" s="91">
        <f t="shared" si="1"/>
        <v>473479.08400000003</v>
      </c>
      <c r="M34" s="91">
        <f t="shared" si="1"/>
        <v>308752.45200000005</v>
      </c>
      <c r="N34" s="91">
        <v>1</v>
      </c>
      <c r="O34" s="91"/>
      <c r="P34" s="91"/>
      <c r="Q34" s="91"/>
      <c r="R34" s="91"/>
      <c r="S34" s="91"/>
      <c r="V34" s="66">
        <v>4</v>
      </c>
      <c r="W34" s="67">
        <v>13294.6</v>
      </c>
      <c r="X34" s="67">
        <v>6881.24</v>
      </c>
      <c r="Y34" s="67">
        <v>6413.36</v>
      </c>
      <c r="Z34" s="68">
        <v>1094584.57</v>
      </c>
      <c r="AD34" s="66">
        <v>4</v>
      </c>
      <c r="AE34" s="67">
        <v>16618.25</v>
      </c>
      <c r="AF34" s="67">
        <v>8601.5499999999993</v>
      </c>
      <c r="AG34" s="67">
        <v>8016.7</v>
      </c>
      <c r="AH34" s="68">
        <v>1368230.72</v>
      </c>
    </row>
    <row r="35" spans="1:35" x14ac:dyDescent="0.25">
      <c r="A35" s="88"/>
      <c r="B35" s="81"/>
      <c r="C35" s="92" t="s">
        <v>38</v>
      </c>
      <c r="D35" s="93"/>
      <c r="E35" s="94">
        <f>AA42</f>
        <v>1041813.44</v>
      </c>
      <c r="F35" s="94">
        <f>AA54</f>
        <v>957557.05</v>
      </c>
      <c r="G35" s="94">
        <f>AA66</f>
        <v>866759.62</v>
      </c>
      <c r="H35" s="94">
        <f>AA78</f>
        <v>768913.35</v>
      </c>
      <c r="I35" s="94">
        <f>AA90</f>
        <v>663471.02</v>
      </c>
      <c r="J35" s="94">
        <f>AA102</f>
        <v>549842.92000000004</v>
      </c>
      <c r="K35" s="94">
        <f>AA114</f>
        <v>427393.59</v>
      </c>
      <c r="L35" s="94">
        <f>AA126</f>
        <v>295438.19</v>
      </c>
      <c r="M35" s="94">
        <f>AA138</f>
        <v>153238.75</v>
      </c>
      <c r="N35" s="94">
        <v>1</v>
      </c>
      <c r="O35" s="94"/>
      <c r="P35" s="94"/>
      <c r="Q35" s="94"/>
      <c r="R35" s="94"/>
      <c r="S35" s="94"/>
      <c r="T35" s="88"/>
      <c r="V35" s="66">
        <v>5</v>
      </c>
      <c r="W35" s="67">
        <v>13294.6</v>
      </c>
      <c r="X35" s="67">
        <v>6841.15</v>
      </c>
      <c r="Y35" s="67">
        <v>6453.44</v>
      </c>
      <c r="Z35" s="68">
        <v>1088131.1299999999</v>
      </c>
      <c r="AD35" s="66">
        <v>5</v>
      </c>
      <c r="AE35" s="67">
        <v>16618.25</v>
      </c>
      <c r="AF35" s="67">
        <v>8551.44</v>
      </c>
      <c r="AG35" s="67">
        <v>8066.81</v>
      </c>
      <c r="AH35" s="68">
        <v>1360163.91</v>
      </c>
    </row>
    <row r="36" spans="1:35" x14ac:dyDescent="0.25">
      <c r="B36" s="88"/>
      <c r="C36" s="95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88"/>
      <c r="V36" s="66">
        <v>6</v>
      </c>
      <c r="W36" s="67">
        <v>13294.6</v>
      </c>
      <c r="X36" s="67">
        <v>6800.82</v>
      </c>
      <c r="Y36" s="67">
        <v>6493.78</v>
      </c>
      <c r="Z36" s="68">
        <v>1081637.3500000001</v>
      </c>
      <c r="AD36" s="66">
        <v>6</v>
      </c>
      <c r="AE36" s="67">
        <v>16618.25</v>
      </c>
      <c r="AF36" s="67">
        <v>8501.02</v>
      </c>
      <c r="AG36" s="67">
        <v>8117.22</v>
      </c>
      <c r="AH36" s="68">
        <v>1352046.69</v>
      </c>
    </row>
    <row r="37" spans="1:35" x14ac:dyDescent="0.25">
      <c r="C37" s="97" t="s">
        <v>39</v>
      </c>
      <c r="E37" s="84">
        <f t="shared" ref="E37:N37" si="2">E34-E35</f>
        <v>273476.02800000017</v>
      </c>
      <c r="F37" s="84">
        <f t="shared" si="2"/>
        <v>265434.5959999999</v>
      </c>
      <c r="G37" s="84">
        <f t="shared" si="2"/>
        <v>255757.90399999998</v>
      </c>
      <c r="H37" s="84">
        <f t="shared" si="2"/>
        <v>244319.01199999999</v>
      </c>
      <c r="I37" s="84">
        <f t="shared" si="2"/>
        <v>230981.08999999997</v>
      </c>
      <c r="J37" s="84">
        <f t="shared" si="2"/>
        <v>215596.74800000002</v>
      </c>
      <c r="K37" s="84">
        <f t="shared" si="2"/>
        <v>198007.06599999993</v>
      </c>
      <c r="L37" s="84">
        <f t="shared" si="2"/>
        <v>178040.89400000003</v>
      </c>
      <c r="M37" s="84">
        <f t="shared" si="2"/>
        <v>155513.70200000005</v>
      </c>
      <c r="N37" s="84">
        <f t="shared" si="2"/>
        <v>0</v>
      </c>
      <c r="O37" s="84"/>
      <c r="P37" s="84"/>
      <c r="Q37" s="84"/>
      <c r="R37" s="84"/>
      <c r="S37" s="84"/>
      <c r="T37" s="88"/>
      <c r="V37" s="66">
        <v>7</v>
      </c>
      <c r="W37" s="67">
        <v>13294.6</v>
      </c>
      <c r="X37" s="67">
        <v>6760.23</v>
      </c>
      <c r="Y37" s="67">
        <v>6534.36</v>
      </c>
      <c r="Z37" s="68">
        <v>1075102.99</v>
      </c>
      <c r="AD37" s="66">
        <v>7</v>
      </c>
      <c r="AE37" s="67">
        <v>16618.25</v>
      </c>
      <c r="AF37" s="67">
        <v>8450.2900000000009</v>
      </c>
      <c r="AG37" s="67">
        <v>8167.96</v>
      </c>
      <c r="AH37" s="68">
        <v>1343878.73</v>
      </c>
    </row>
    <row r="38" spans="1:35" x14ac:dyDescent="0.25">
      <c r="T38" s="96"/>
      <c r="V38" s="66">
        <v>8</v>
      </c>
      <c r="W38" s="67">
        <v>13294.6</v>
      </c>
      <c r="X38" s="67">
        <v>6719.39</v>
      </c>
      <c r="Y38" s="67">
        <v>6575.2</v>
      </c>
      <c r="Z38" s="68">
        <v>1068527.78</v>
      </c>
      <c r="AD38" s="66">
        <v>8</v>
      </c>
      <c r="AE38" s="67">
        <v>16618.25</v>
      </c>
      <c r="AF38" s="67">
        <v>8399.24</v>
      </c>
      <c r="AG38" s="67">
        <v>8219.01</v>
      </c>
      <c r="AH38" s="68">
        <v>1335659.73</v>
      </c>
    </row>
    <row r="39" spans="1:35" x14ac:dyDescent="0.25">
      <c r="C39" s="95" t="s">
        <v>46</v>
      </c>
      <c r="E39" s="88">
        <f t="shared" ref="E39:N39" si="3">E35*$B$40</f>
        <v>52090.671999999999</v>
      </c>
      <c r="F39" s="88">
        <f t="shared" si="3"/>
        <v>47877.852500000008</v>
      </c>
      <c r="G39" s="88">
        <f t="shared" si="3"/>
        <v>43337.981</v>
      </c>
      <c r="H39" s="88">
        <f t="shared" si="3"/>
        <v>38445.667500000003</v>
      </c>
      <c r="I39" s="88">
        <f t="shared" si="3"/>
        <v>33173.550999999999</v>
      </c>
      <c r="J39" s="88">
        <f t="shared" si="3"/>
        <v>27492.146000000004</v>
      </c>
      <c r="K39" s="88">
        <f t="shared" si="3"/>
        <v>21369.679500000002</v>
      </c>
      <c r="L39" s="88">
        <f t="shared" si="3"/>
        <v>14771.909500000002</v>
      </c>
      <c r="M39" s="88">
        <f t="shared" si="3"/>
        <v>7661.9375</v>
      </c>
      <c r="N39" s="88">
        <f t="shared" si="3"/>
        <v>0.05</v>
      </c>
      <c r="O39" s="88"/>
      <c r="P39" s="88"/>
      <c r="Q39" s="88"/>
      <c r="R39" s="88"/>
      <c r="S39" s="88"/>
      <c r="V39" s="66">
        <v>9</v>
      </c>
      <c r="W39" s="67">
        <v>13294.6</v>
      </c>
      <c r="X39" s="67">
        <v>6678.3</v>
      </c>
      <c r="Y39" s="67">
        <v>6616.3</v>
      </c>
      <c r="Z39" s="68">
        <v>1061911.48</v>
      </c>
      <c r="AD39" s="66">
        <v>9</v>
      </c>
      <c r="AE39" s="67">
        <v>16618.25</v>
      </c>
      <c r="AF39" s="67">
        <v>8347.8700000000008</v>
      </c>
      <c r="AG39" s="67">
        <v>8270.3700000000008</v>
      </c>
      <c r="AH39" s="68">
        <v>1327389.3500000001</v>
      </c>
    </row>
    <row r="40" spans="1:35" x14ac:dyDescent="0.25">
      <c r="B40" s="80">
        <v>0.05</v>
      </c>
      <c r="V40" s="66">
        <v>10</v>
      </c>
      <c r="W40" s="67">
        <v>13294.6</v>
      </c>
      <c r="X40" s="67">
        <v>6636.95</v>
      </c>
      <c r="Y40" s="67">
        <v>6657.65</v>
      </c>
      <c r="Z40" s="68">
        <v>1055253.83</v>
      </c>
      <c r="AD40" s="66">
        <v>10</v>
      </c>
      <c r="AE40" s="67">
        <v>16618.25</v>
      </c>
      <c r="AF40" s="67">
        <v>8296.18</v>
      </c>
      <c r="AG40" s="67">
        <v>8322.06</v>
      </c>
      <c r="AH40" s="68">
        <v>1319067.29</v>
      </c>
    </row>
    <row r="41" spans="1:35" x14ac:dyDescent="0.25">
      <c r="C41" s="98" t="s">
        <v>47</v>
      </c>
      <c r="D41" s="98"/>
      <c r="E41" s="99">
        <f t="shared" ref="E41:S41" si="4">E37-E39</f>
        <v>221385.35600000017</v>
      </c>
      <c r="F41" s="99">
        <f t="shared" si="4"/>
        <v>217556.74349999989</v>
      </c>
      <c r="G41" s="99">
        <f t="shared" si="4"/>
        <v>212419.92299999998</v>
      </c>
      <c r="H41" s="99">
        <f t="shared" si="4"/>
        <v>205873.34449999998</v>
      </c>
      <c r="I41" s="99">
        <f t="shared" si="4"/>
        <v>197807.53899999996</v>
      </c>
      <c r="J41" s="99">
        <f t="shared" si="4"/>
        <v>188104.60200000001</v>
      </c>
      <c r="K41" s="99">
        <f t="shared" si="4"/>
        <v>176637.38649999994</v>
      </c>
      <c r="L41" s="99">
        <f t="shared" si="4"/>
        <v>163268.98450000002</v>
      </c>
      <c r="M41" s="99">
        <f t="shared" si="4"/>
        <v>147851.76450000005</v>
      </c>
      <c r="N41" s="99">
        <f t="shared" si="4"/>
        <v>-0.05</v>
      </c>
      <c r="O41" s="99">
        <f t="shared" si="4"/>
        <v>0</v>
      </c>
      <c r="P41" s="99">
        <f t="shared" si="4"/>
        <v>0</v>
      </c>
      <c r="Q41" s="99">
        <f t="shared" si="4"/>
        <v>0</v>
      </c>
      <c r="R41" s="99">
        <f t="shared" si="4"/>
        <v>0</v>
      </c>
      <c r="S41" s="99">
        <f t="shared" si="4"/>
        <v>0</v>
      </c>
      <c r="V41" s="66">
        <v>11</v>
      </c>
      <c r="W41" s="67">
        <v>13294.6</v>
      </c>
      <c r="X41" s="67">
        <v>6595.34</v>
      </c>
      <c r="Y41" s="67">
        <v>6699.26</v>
      </c>
      <c r="Z41" s="68">
        <v>1048554.57</v>
      </c>
      <c r="AD41" s="66">
        <v>11</v>
      </c>
      <c r="AE41" s="67">
        <v>16618.25</v>
      </c>
      <c r="AF41" s="67">
        <v>8244.17</v>
      </c>
      <c r="AG41" s="67">
        <v>8374.08</v>
      </c>
      <c r="AH41" s="68">
        <v>1310693.21</v>
      </c>
    </row>
    <row r="42" spans="1:35" x14ac:dyDescent="0.25">
      <c r="V42" s="66">
        <v>12</v>
      </c>
      <c r="W42" s="67">
        <v>13294.6</v>
      </c>
      <c r="X42" s="67">
        <v>6553.47</v>
      </c>
      <c r="Y42" s="67">
        <v>6741.13</v>
      </c>
      <c r="Z42" s="68">
        <v>1041813.44</v>
      </c>
      <c r="AA42" s="100">
        <f>Z42</f>
        <v>1041813.44</v>
      </c>
      <c r="AD42" s="66">
        <v>12</v>
      </c>
      <c r="AE42" s="67">
        <v>16618.25</v>
      </c>
      <c r="AF42" s="67">
        <v>8191.83</v>
      </c>
      <c r="AG42" s="67">
        <v>8426.42</v>
      </c>
      <c r="AH42" s="68">
        <v>1302266.8</v>
      </c>
      <c r="AI42" s="100">
        <f>AH42</f>
        <v>1302266.8</v>
      </c>
    </row>
    <row r="43" spans="1:35" x14ac:dyDescent="0.25">
      <c r="T43" s="88"/>
      <c r="V43" s="66">
        <v>13</v>
      </c>
      <c r="W43" s="67">
        <v>13294.6</v>
      </c>
      <c r="X43" s="67">
        <v>6511.33</v>
      </c>
      <c r="Y43" s="67">
        <v>6783.26</v>
      </c>
      <c r="Z43" s="68">
        <v>1035030.17</v>
      </c>
      <c r="AD43" s="66">
        <v>13</v>
      </c>
      <c r="AE43" s="67">
        <v>16618.25</v>
      </c>
      <c r="AF43" s="67">
        <v>8139.17</v>
      </c>
      <c r="AG43" s="67">
        <v>8479.08</v>
      </c>
      <c r="AH43" s="68">
        <v>1293787.72</v>
      </c>
    </row>
    <row r="44" spans="1:35" x14ac:dyDescent="0.25">
      <c r="T44" s="88"/>
      <c r="V44" s="66">
        <v>14</v>
      </c>
      <c r="W44" s="67">
        <v>13294.6</v>
      </c>
      <c r="X44" s="67">
        <v>6468.94</v>
      </c>
      <c r="Y44" s="67">
        <v>6825.66</v>
      </c>
      <c r="Z44" s="68">
        <v>1028204.51</v>
      </c>
      <c r="AD44" s="66">
        <v>14</v>
      </c>
      <c r="AE44" s="67">
        <v>16618.25</v>
      </c>
      <c r="AF44" s="67">
        <v>8086.17</v>
      </c>
      <c r="AG44" s="67">
        <v>8532.07</v>
      </c>
      <c r="AH44" s="68">
        <v>1285255.6399999999</v>
      </c>
    </row>
    <row r="45" spans="1:35" x14ac:dyDescent="0.25">
      <c r="V45" s="66">
        <v>15</v>
      </c>
      <c r="W45" s="67">
        <v>13294.6</v>
      </c>
      <c r="X45" s="67">
        <v>6426.28</v>
      </c>
      <c r="Y45" s="67">
        <v>6868.32</v>
      </c>
      <c r="Z45" s="68">
        <v>1021336.19</v>
      </c>
      <c r="AD45" s="66">
        <v>15</v>
      </c>
      <c r="AE45" s="67">
        <v>16618.25</v>
      </c>
      <c r="AF45" s="67">
        <v>8032.85</v>
      </c>
      <c r="AG45" s="67">
        <v>8585.4</v>
      </c>
      <c r="AH45" s="68">
        <v>1276670.24</v>
      </c>
    </row>
    <row r="46" spans="1:35" x14ac:dyDescent="0.25">
      <c r="V46" s="66">
        <v>16</v>
      </c>
      <c r="W46" s="67">
        <v>13294.6</v>
      </c>
      <c r="X46" s="67">
        <v>6383.35</v>
      </c>
      <c r="Y46" s="67">
        <v>6911.25</v>
      </c>
      <c r="Z46" s="68">
        <v>1014424.95</v>
      </c>
      <c r="AD46" s="66">
        <v>16</v>
      </c>
      <c r="AE46" s="67">
        <v>16618.25</v>
      </c>
      <c r="AF46" s="67">
        <v>7979.19</v>
      </c>
      <c r="AG46" s="67">
        <v>8639.06</v>
      </c>
      <c r="AH46" s="68">
        <v>1268031.18</v>
      </c>
    </row>
    <row r="47" spans="1:35" x14ac:dyDescent="0.25">
      <c r="V47" s="66">
        <v>17</v>
      </c>
      <c r="W47" s="67">
        <v>13294.6</v>
      </c>
      <c r="X47" s="67">
        <v>6340.16</v>
      </c>
      <c r="Y47" s="67">
        <v>6954.44</v>
      </c>
      <c r="Z47" s="68">
        <v>1007470.51</v>
      </c>
      <c r="AD47" s="66">
        <v>17</v>
      </c>
      <c r="AE47" s="67">
        <v>16618.25</v>
      </c>
      <c r="AF47" s="67">
        <v>7925.19</v>
      </c>
      <c r="AG47" s="67">
        <v>8693.0499999999993</v>
      </c>
      <c r="AH47" s="68">
        <v>1259338.1299999999</v>
      </c>
    </row>
    <row r="48" spans="1:35" x14ac:dyDescent="0.25">
      <c r="F48" s="110">
        <v>1</v>
      </c>
      <c r="G48" s="111" t="s">
        <v>15</v>
      </c>
      <c r="H48" s="112">
        <v>1400000</v>
      </c>
      <c r="V48" s="66">
        <v>18</v>
      </c>
      <c r="W48" s="67">
        <v>13294.6</v>
      </c>
      <c r="X48" s="67">
        <v>6296.69</v>
      </c>
      <c r="Y48" s="67">
        <v>6997.91</v>
      </c>
      <c r="Z48" s="68">
        <v>1000472.6</v>
      </c>
      <c r="AD48" s="66">
        <v>18</v>
      </c>
      <c r="AE48" s="67">
        <v>16618.25</v>
      </c>
      <c r="AF48" s="67">
        <v>7870.86</v>
      </c>
      <c r="AG48" s="67">
        <v>8747.3799999999992</v>
      </c>
      <c r="AH48" s="68">
        <v>1250590.75</v>
      </c>
    </row>
    <row r="49" spans="5:35" x14ac:dyDescent="0.25">
      <c r="F49" s="113">
        <v>0.2</v>
      </c>
      <c r="G49" s="2" t="s">
        <v>16</v>
      </c>
      <c r="H49" s="28">
        <f>H48*F49</f>
        <v>280000</v>
      </c>
      <c r="V49" s="66">
        <v>19</v>
      </c>
      <c r="W49" s="67">
        <v>13294.6</v>
      </c>
      <c r="X49" s="67">
        <v>6252.95</v>
      </c>
      <c r="Y49" s="67">
        <v>7041.64</v>
      </c>
      <c r="Z49" s="68">
        <v>993430.95</v>
      </c>
      <c r="AD49" s="66">
        <v>19</v>
      </c>
      <c r="AE49" s="67">
        <v>16618.25</v>
      </c>
      <c r="AF49" s="67">
        <v>7816.19</v>
      </c>
      <c r="AG49" s="67">
        <v>8802.06</v>
      </c>
      <c r="AH49" s="68">
        <v>1241788.69</v>
      </c>
    </row>
    <row r="50" spans="5:35" x14ac:dyDescent="0.25">
      <c r="F50" s="113">
        <v>0.8</v>
      </c>
      <c r="G50" s="2" t="s">
        <v>17</v>
      </c>
      <c r="H50" s="28">
        <f>H48-H49</f>
        <v>1120000</v>
      </c>
      <c r="V50" s="66">
        <v>20</v>
      </c>
      <c r="W50" s="67">
        <v>13294.6</v>
      </c>
      <c r="X50" s="67">
        <v>6208.94</v>
      </c>
      <c r="Y50" s="67">
        <v>7085.65</v>
      </c>
      <c r="Z50" s="68">
        <v>986345.3</v>
      </c>
      <c r="AD50" s="66">
        <v>20</v>
      </c>
      <c r="AE50" s="67">
        <v>16618.25</v>
      </c>
      <c r="AF50" s="67">
        <v>7761.18</v>
      </c>
      <c r="AG50" s="67">
        <v>8857.07</v>
      </c>
      <c r="AH50" s="68">
        <v>1232931.6200000001</v>
      </c>
    </row>
    <row r="51" spans="5:35" x14ac:dyDescent="0.25">
      <c r="V51" s="66">
        <v>21</v>
      </c>
      <c r="W51" s="67">
        <v>13294.6</v>
      </c>
      <c r="X51" s="67">
        <v>6164.66</v>
      </c>
      <c r="Y51" s="67">
        <v>7129.94</v>
      </c>
      <c r="Z51" s="68">
        <v>979215.35999999999</v>
      </c>
      <c r="AD51" s="66">
        <v>21</v>
      </c>
      <c r="AE51" s="67">
        <v>16618.25</v>
      </c>
      <c r="AF51" s="67">
        <v>7705.82</v>
      </c>
      <c r="AG51" s="67">
        <v>8912.43</v>
      </c>
      <c r="AH51" s="68">
        <v>1224019.2</v>
      </c>
    </row>
    <row r="52" spans="5:35" x14ac:dyDescent="0.25">
      <c r="F52" s="10"/>
      <c r="G52"/>
      <c r="H52" s="5"/>
      <c r="V52" s="66">
        <v>22</v>
      </c>
      <c r="W52" s="67">
        <v>13294.6</v>
      </c>
      <c r="X52" s="67">
        <v>6120.1</v>
      </c>
      <c r="Y52" s="67">
        <v>7174.5</v>
      </c>
      <c r="Z52" s="68">
        <v>972040.86</v>
      </c>
      <c r="AD52" s="66">
        <v>22</v>
      </c>
      <c r="AE52" s="67">
        <v>16618.25</v>
      </c>
      <c r="AF52" s="67">
        <v>7650.12</v>
      </c>
      <c r="AG52" s="67">
        <v>8968.1299999999992</v>
      </c>
      <c r="AH52" s="68">
        <v>1215051.07</v>
      </c>
    </row>
    <row r="53" spans="5:35" x14ac:dyDescent="0.25">
      <c r="F53" s="10"/>
      <c r="G53"/>
      <c r="H53" s="117"/>
      <c r="V53" s="66">
        <v>23</v>
      </c>
      <c r="W53" s="67">
        <v>13294.6</v>
      </c>
      <c r="X53" s="67">
        <v>6075.26</v>
      </c>
      <c r="Y53" s="67">
        <v>7219.34</v>
      </c>
      <c r="Z53" s="68">
        <v>964821.51</v>
      </c>
      <c r="AD53" s="66">
        <v>23</v>
      </c>
      <c r="AE53" s="67">
        <v>16618.25</v>
      </c>
      <c r="AF53" s="67">
        <v>7594.07</v>
      </c>
      <c r="AG53" s="67">
        <v>9024.18</v>
      </c>
      <c r="AH53" s="68">
        <v>1206026.8899999999</v>
      </c>
    </row>
    <row r="54" spans="5:35" x14ac:dyDescent="0.25">
      <c r="F54" s="10"/>
      <c r="G54"/>
      <c r="H54" s="5"/>
      <c r="V54" s="66">
        <v>24</v>
      </c>
      <c r="W54" s="67">
        <v>13294.6</v>
      </c>
      <c r="X54" s="67">
        <v>6030.13</v>
      </c>
      <c r="Y54" s="67">
        <v>7264.46</v>
      </c>
      <c r="Z54" s="68">
        <v>957557.05</v>
      </c>
      <c r="AA54" s="100">
        <f>Z54</f>
        <v>957557.05</v>
      </c>
      <c r="AD54" s="66">
        <v>24</v>
      </c>
      <c r="AE54" s="67">
        <v>16618.25</v>
      </c>
      <c r="AF54" s="67">
        <v>7537.67</v>
      </c>
      <c r="AG54" s="67">
        <v>9080.58</v>
      </c>
      <c r="AH54" s="68">
        <v>1196946.31</v>
      </c>
      <c r="AI54" s="100">
        <f>AH54</f>
        <v>1196946.31</v>
      </c>
    </row>
    <row r="55" spans="5:35" x14ac:dyDescent="0.25">
      <c r="V55" s="66">
        <v>25</v>
      </c>
      <c r="W55" s="67">
        <v>13294.6</v>
      </c>
      <c r="X55" s="67">
        <v>5984.73</v>
      </c>
      <c r="Y55" s="67">
        <v>7309.87</v>
      </c>
      <c r="Z55" s="68">
        <v>950247.18</v>
      </c>
      <c r="AD55" s="66">
        <v>25</v>
      </c>
      <c r="AE55" s="67">
        <v>16618.25</v>
      </c>
      <c r="AF55" s="67">
        <v>7480.91</v>
      </c>
      <c r="AG55" s="67">
        <v>9137.33</v>
      </c>
      <c r="AH55" s="68">
        <v>1187808.98</v>
      </c>
    </row>
    <row r="56" spans="5:35" x14ac:dyDescent="0.25">
      <c r="V56" s="66">
        <v>26</v>
      </c>
      <c r="W56" s="67">
        <v>13294.6</v>
      </c>
      <c r="X56" s="67">
        <v>5939.04</v>
      </c>
      <c r="Y56" s="67">
        <v>7355.55</v>
      </c>
      <c r="Z56" s="68">
        <v>942891.63</v>
      </c>
      <c r="AD56" s="66">
        <v>26</v>
      </c>
      <c r="AE56" s="67">
        <v>16618.25</v>
      </c>
      <c r="AF56" s="67">
        <v>7423.81</v>
      </c>
      <c r="AG56" s="67">
        <v>9194.44</v>
      </c>
      <c r="AH56" s="68">
        <v>1178614.54</v>
      </c>
    </row>
    <row r="57" spans="5:35" x14ac:dyDescent="0.25">
      <c r="V57" s="66">
        <v>27</v>
      </c>
      <c r="W57" s="67">
        <v>13294.6</v>
      </c>
      <c r="X57" s="67">
        <v>5893.07</v>
      </c>
      <c r="Y57" s="67">
        <v>7401.53</v>
      </c>
      <c r="Z57" s="68">
        <v>935490.1</v>
      </c>
      <c r="AD57" s="66">
        <v>27</v>
      </c>
      <c r="AE57" s="67">
        <v>16618.25</v>
      </c>
      <c r="AF57" s="67">
        <v>7366.34</v>
      </c>
      <c r="AG57" s="67">
        <v>9251.91</v>
      </c>
      <c r="AH57" s="68">
        <v>1169362.6299999999</v>
      </c>
    </row>
    <row r="58" spans="5:35" x14ac:dyDescent="0.25">
      <c r="V58" s="66">
        <v>28</v>
      </c>
      <c r="W58" s="67">
        <v>13294.6</v>
      </c>
      <c r="X58" s="67">
        <v>5846.81</v>
      </c>
      <c r="Y58" s="67">
        <v>7447.78</v>
      </c>
      <c r="Z58" s="68">
        <v>928042.32</v>
      </c>
      <c r="AD58" s="66">
        <v>28</v>
      </c>
      <c r="AE58" s="67">
        <v>16618.25</v>
      </c>
      <c r="AF58" s="67">
        <v>7308.52</v>
      </c>
      <c r="AG58" s="67">
        <v>9309.73</v>
      </c>
      <c r="AH58" s="68">
        <v>1160052.8999999999</v>
      </c>
    </row>
    <row r="59" spans="5:35" x14ac:dyDescent="0.25">
      <c r="V59" s="66">
        <v>29</v>
      </c>
      <c r="W59" s="67">
        <v>13294.6</v>
      </c>
      <c r="X59" s="67">
        <v>5800.26</v>
      </c>
      <c r="Y59" s="67">
        <v>7494.33</v>
      </c>
      <c r="Z59" s="68">
        <v>920547.99</v>
      </c>
      <c r="AD59" s="66">
        <v>29</v>
      </c>
      <c r="AE59" s="67">
        <v>16618.25</v>
      </c>
      <c r="AF59" s="67">
        <v>7250.33</v>
      </c>
      <c r="AG59" s="67">
        <v>9367.92</v>
      </c>
      <c r="AH59" s="68">
        <v>1150684.98</v>
      </c>
    </row>
    <row r="60" spans="5:35" x14ac:dyDescent="0.25">
      <c r="E60" s="136" t="s">
        <v>41</v>
      </c>
      <c r="F60" s="136">
        <v>1</v>
      </c>
      <c r="G60" s="136">
        <v>2</v>
      </c>
      <c r="H60" s="136">
        <v>3</v>
      </c>
      <c r="I60" s="136">
        <v>4</v>
      </c>
      <c r="J60" s="136">
        <v>5</v>
      </c>
      <c r="V60" s="66">
        <v>30</v>
      </c>
      <c r="W60" s="67">
        <v>13294.6</v>
      </c>
      <c r="X60" s="67">
        <v>5753.42</v>
      </c>
      <c r="Y60" s="67">
        <v>7541.17</v>
      </c>
      <c r="Z60" s="68">
        <v>913006.81</v>
      </c>
      <c r="AD60" s="66">
        <v>30</v>
      </c>
      <c r="AE60" s="67">
        <v>16618.25</v>
      </c>
      <c r="AF60" s="67">
        <v>7191.78</v>
      </c>
      <c r="AG60" s="67">
        <v>9426.4699999999993</v>
      </c>
      <c r="AH60" s="68">
        <v>1141258.52</v>
      </c>
    </row>
    <row r="61" spans="5:35" x14ac:dyDescent="0.25">
      <c r="E61" s="136"/>
      <c r="F61" s="136"/>
      <c r="G61" s="136"/>
      <c r="H61" s="136"/>
      <c r="I61" s="136"/>
      <c r="J61" s="136"/>
      <c r="V61" s="66">
        <v>31</v>
      </c>
      <c r="W61" s="67">
        <v>13294.6</v>
      </c>
      <c r="X61" s="67">
        <v>5706.29</v>
      </c>
      <c r="Y61" s="67">
        <v>7588.31</v>
      </c>
      <c r="Z61" s="68">
        <v>905418.51</v>
      </c>
      <c r="AD61" s="66">
        <v>31</v>
      </c>
      <c r="AE61" s="67">
        <v>16618.25</v>
      </c>
      <c r="AF61" s="67">
        <v>7132.87</v>
      </c>
      <c r="AG61" s="67">
        <v>9485.3799999999992</v>
      </c>
      <c r="AH61" s="68">
        <v>1131773.1299999999</v>
      </c>
    </row>
    <row r="62" spans="5:35" x14ac:dyDescent="0.25">
      <c r="E62" s="137" t="s">
        <v>40</v>
      </c>
      <c r="F62" s="127">
        <f>E34</f>
        <v>1315289.4680000001</v>
      </c>
      <c r="G62" s="127">
        <f>F34</f>
        <v>1222991.6459999999</v>
      </c>
      <c r="H62" s="127">
        <f>G34</f>
        <v>1122517.524</v>
      </c>
      <c r="I62" s="127">
        <f>H34</f>
        <v>1013232.362</v>
      </c>
      <c r="J62" s="127">
        <f>I34</f>
        <v>894452.11</v>
      </c>
      <c r="V62" s="66">
        <v>32</v>
      </c>
      <c r="W62" s="67">
        <v>13294.6</v>
      </c>
      <c r="X62" s="67">
        <v>5658.87</v>
      </c>
      <c r="Y62" s="67">
        <v>7635.73</v>
      </c>
      <c r="Z62" s="68">
        <v>897782.77</v>
      </c>
      <c r="AD62" s="66">
        <v>32</v>
      </c>
      <c r="AE62" s="67">
        <v>16618.25</v>
      </c>
      <c r="AF62" s="67">
        <v>7073.58</v>
      </c>
      <c r="AG62" s="67">
        <v>9544.67</v>
      </c>
      <c r="AH62" s="68">
        <v>1122228.47</v>
      </c>
    </row>
    <row r="63" spans="5:35" x14ac:dyDescent="0.25">
      <c r="E63" s="137"/>
      <c r="F63" s="128"/>
      <c r="G63" s="128"/>
      <c r="H63" s="128"/>
      <c r="I63" s="128"/>
      <c r="J63" s="128"/>
      <c r="V63" s="66">
        <v>33</v>
      </c>
      <c r="W63" s="67">
        <v>13294.6</v>
      </c>
      <c r="X63" s="67">
        <v>5611.14</v>
      </c>
      <c r="Y63" s="67">
        <v>7683.46</v>
      </c>
      <c r="Z63" s="68">
        <v>890099.32</v>
      </c>
      <c r="AD63" s="66">
        <v>33</v>
      </c>
      <c r="AE63" s="67">
        <v>16618.25</v>
      </c>
      <c r="AF63" s="67">
        <v>7013.93</v>
      </c>
      <c r="AG63" s="67">
        <v>9604.32</v>
      </c>
      <c r="AH63" s="68">
        <v>1112624.1499999999</v>
      </c>
    </row>
    <row r="64" spans="5:35" x14ac:dyDescent="0.25">
      <c r="E64" s="136" t="s">
        <v>41</v>
      </c>
      <c r="F64" s="136">
        <v>6</v>
      </c>
      <c r="G64" s="136">
        <v>7</v>
      </c>
      <c r="H64" s="136">
        <v>8</v>
      </c>
      <c r="I64" s="136">
        <v>9</v>
      </c>
      <c r="J64" s="136">
        <v>10</v>
      </c>
      <c r="V64" s="66">
        <v>34</v>
      </c>
      <c r="W64" s="67">
        <v>13294.6</v>
      </c>
      <c r="X64" s="67">
        <v>5563.12</v>
      </c>
      <c r="Y64" s="67">
        <v>7731.48</v>
      </c>
      <c r="Z64" s="68">
        <v>882367.84</v>
      </c>
      <c r="AD64" s="66">
        <v>34</v>
      </c>
      <c r="AE64" s="67">
        <v>16618.25</v>
      </c>
      <c r="AF64" s="67">
        <v>6953.9</v>
      </c>
      <c r="AG64" s="67">
        <v>9664.35</v>
      </c>
      <c r="AH64" s="68">
        <v>1102959.8</v>
      </c>
    </row>
    <row r="65" spans="5:35" x14ac:dyDescent="0.25">
      <c r="E65" s="136"/>
      <c r="F65" s="136"/>
      <c r="G65" s="136"/>
      <c r="H65" s="136"/>
      <c r="I65" s="136"/>
      <c r="J65" s="136"/>
      <c r="V65" s="66">
        <v>35</v>
      </c>
      <c r="W65" s="67">
        <v>13294.6</v>
      </c>
      <c r="X65" s="67">
        <v>5514.8</v>
      </c>
      <c r="Y65" s="67">
        <v>7779.8</v>
      </c>
      <c r="Z65" s="68">
        <v>874588.04</v>
      </c>
      <c r="AD65" s="66">
        <v>35</v>
      </c>
      <c r="AE65" s="67">
        <v>16618.25</v>
      </c>
      <c r="AF65" s="67">
        <v>6893.5</v>
      </c>
      <c r="AG65" s="67">
        <v>9724.75</v>
      </c>
      <c r="AH65" s="68">
        <v>1093235.05</v>
      </c>
    </row>
    <row r="66" spans="5:35" x14ac:dyDescent="0.25">
      <c r="E66" s="137" t="s">
        <v>40</v>
      </c>
      <c r="F66" s="127">
        <f>J34</f>
        <v>765439.66800000006</v>
      </c>
      <c r="G66" s="127">
        <f>K34</f>
        <v>625400.65599999996</v>
      </c>
      <c r="H66" s="127">
        <f>L34</f>
        <v>473479.08400000003</v>
      </c>
      <c r="I66" s="127">
        <f>M34</f>
        <v>308752.45200000005</v>
      </c>
      <c r="J66" s="127">
        <f>N34</f>
        <v>1</v>
      </c>
      <c r="V66" s="66">
        <v>36</v>
      </c>
      <c r="W66" s="67">
        <v>13294.6</v>
      </c>
      <c r="X66" s="67">
        <v>5466.18</v>
      </c>
      <c r="Y66" s="67">
        <v>7828.42</v>
      </c>
      <c r="Z66" s="68">
        <v>866759.62</v>
      </c>
      <c r="AA66" s="100">
        <f>Z66</f>
        <v>866759.62</v>
      </c>
      <c r="AD66" s="66">
        <v>36</v>
      </c>
      <c r="AE66" s="67">
        <v>16618.25</v>
      </c>
      <c r="AF66" s="67">
        <v>6832.72</v>
      </c>
      <c r="AG66" s="67">
        <v>9785.5300000000007</v>
      </c>
      <c r="AH66" s="68">
        <v>1083449.52</v>
      </c>
      <c r="AI66" s="100">
        <f>AH66</f>
        <v>1083449.52</v>
      </c>
    </row>
    <row r="67" spans="5:35" x14ac:dyDescent="0.25">
      <c r="E67" s="137"/>
      <c r="F67" s="128"/>
      <c r="G67" s="128"/>
      <c r="H67" s="128"/>
      <c r="I67" s="128"/>
      <c r="J67" s="128"/>
      <c r="V67" s="66">
        <v>37</v>
      </c>
      <c r="W67" s="67">
        <v>13294.6</v>
      </c>
      <c r="X67" s="67">
        <v>5417.25</v>
      </c>
      <c r="Y67" s="67">
        <v>7877.35</v>
      </c>
      <c r="Z67" s="68">
        <v>858882.27</v>
      </c>
      <c r="AD67" s="66">
        <v>37</v>
      </c>
      <c r="AE67" s="67">
        <v>16618.25</v>
      </c>
      <c r="AF67" s="67">
        <v>6771.56</v>
      </c>
      <c r="AG67" s="67">
        <v>9846.69</v>
      </c>
      <c r="AH67" s="68">
        <v>1073602.8400000001</v>
      </c>
    </row>
    <row r="68" spans="5:35" x14ac:dyDescent="0.25">
      <c r="E68" s="136" t="s">
        <v>41</v>
      </c>
      <c r="F68" s="136">
        <v>11</v>
      </c>
      <c r="G68" s="136">
        <v>12</v>
      </c>
      <c r="H68" s="136">
        <v>13</v>
      </c>
      <c r="I68" s="136">
        <v>14</v>
      </c>
      <c r="J68" s="136">
        <v>15</v>
      </c>
      <c r="V68" s="66">
        <v>38</v>
      </c>
      <c r="W68" s="67">
        <v>13294.6</v>
      </c>
      <c r="X68" s="67">
        <v>5368.01</v>
      </c>
      <c r="Y68" s="67">
        <v>7926.58</v>
      </c>
      <c r="Z68" s="68">
        <v>850955.69</v>
      </c>
      <c r="AD68" s="66">
        <v>38</v>
      </c>
      <c r="AE68" s="67">
        <v>16618.25</v>
      </c>
      <c r="AF68" s="67">
        <v>6710.02</v>
      </c>
      <c r="AG68" s="67">
        <v>9908.23</v>
      </c>
      <c r="AH68" s="68">
        <v>1063694.6100000001</v>
      </c>
    </row>
    <row r="69" spans="5:35" x14ac:dyDescent="0.25">
      <c r="E69" s="136"/>
      <c r="F69" s="136"/>
      <c r="G69" s="136"/>
      <c r="H69" s="136"/>
      <c r="I69" s="136"/>
      <c r="J69" s="136"/>
      <c r="V69" s="66">
        <v>39</v>
      </c>
      <c r="W69" s="67">
        <v>13294.6</v>
      </c>
      <c r="X69" s="67">
        <v>5318.47</v>
      </c>
      <c r="Y69" s="67">
        <v>7976.13</v>
      </c>
      <c r="Z69" s="68">
        <v>842979.56</v>
      </c>
      <c r="AD69" s="66">
        <v>39</v>
      </c>
      <c r="AE69" s="67">
        <v>16618.25</v>
      </c>
      <c r="AF69" s="67">
        <v>6648.09</v>
      </c>
      <c r="AG69" s="67">
        <v>9970.16</v>
      </c>
      <c r="AH69" s="68">
        <v>1053724.45</v>
      </c>
    </row>
    <row r="70" spans="5:35" x14ac:dyDescent="0.25">
      <c r="E70" s="137" t="s">
        <v>40</v>
      </c>
      <c r="F70" s="127">
        <f>O34</f>
        <v>0</v>
      </c>
      <c r="G70" s="127">
        <f>P34</f>
        <v>0</v>
      </c>
      <c r="H70" s="127">
        <f>Q34</f>
        <v>0</v>
      </c>
      <c r="I70" s="127">
        <f>R34</f>
        <v>0</v>
      </c>
      <c r="J70" s="127">
        <f>S34</f>
        <v>0</v>
      </c>
      <c r="V70" s="66">
        <v>40</v>
      </c>
      <c r="W70" s="67">
        <v>13294.6</v>
      </c>
      <c r="X70" s="67">
        <v>5268.62</v>
      </c>
      <c r="Y70" s="67">
        <v>8025.98</v>
      </c>
      <c r="Z70" s="68">
        <v>834953.58</v>
      </c>
      <c r="AD70" s="66">
        <v>40</v>
      </c>
      <c r="AE70" s="67">
        <v>16618.25</v>
      </c>
      <c r="AF70" s="67">
        <v>6585.78</v>
      </c>
      <c r="AG70" s="67">
        <v>10032.469999999999</v>
      </c>
      <c r="AH70" s="68">
        <v>1043691.98</v>
      </c>
    </row>
    <row r="71" spans="5:35" x14ac:dyDescent="0.25">
      <c r="E71" s="137"/>
      <c r="F71" s="128"/>
      <c r="G71" s="128"/>
      <c r="H71" s="128"/>
      <c r="I71" s="128"/>
      <c r="J71" s="128"/>
      <c r="V71" s="66">
        <v>41</v>
      </c>
      <c r="W71" s="67">
        <v>13294.6</v>
      </c>
      <c r="X71" s="67">
        <v>5218.46</v>
      </c>
      <c r="Y71" s="67">
        <v>8076.14</v>
      </c>
      <c r="Z71" s="68">
        <v>826877.45</v>
      </c>
      <c r="AD71" s="66">
        <v>41</v>
      </c>
      <c r="AE71" s="67">
        <v>16618.25</v>
      </c>
      <c r="AF71" s="67">
        <v>6523.07</v>
      </c>
      <c r="AG71" s="67">
        <v>10095.17</v>
      </c>
      <c r="AH71" s="68">
        <v>1033596.81</v>
      </c>
    </row>
    <row r="72" spans="5:35" x14ac:dyDescent="0.25">
      <c r="V72" s="66">
        <v>42</v>
      </c>
      <c r="W72" s="67">
        <v>13294.6</v>
      </c>
      <c r="X72" s="67">
        <v>5167.9799999999996</v>
      </c>
      <c r="Y72" s="67">
        <v>8126.61</v>
      </c>
      <c r="Z72" s="68">
        <v>818750.83</v>
      </c>
      <c r="AD72" s="66">
        <v>42</v>
      </c>
      <c r="AE72" s="67">
        <v>16618.25</v>
      </c>
      <c r="AF72" s="67">
        <v>6459.98</v>
      </c>
      <c r="AG72" s="67">
        <v>10158.27</v>
      </c>
      <c r="AH72" s="68">
        <v>1023438.54</v>
      </c>
    </row>
    <row r="73" spans="5:35" x14ac:dyDescent="0.25">
      <c r="V73" s="66">
        <v>43</v>
      </c>
      <c r="W73" s="67">
        <v>13294.6</v>
      </c>
      <c r="X73" s="67">
        <v>5117.1899999999996</v>
      </c>
      <c r="Y73" s="67">
        <v>8177.41</v>
      </c>
      <c r="Z73" s="68">
        <v>810573.43</v>
      </c>
      <c r="AD73" s="66">
        <v>43</v>
      </c>
      <c r="AE73" s="67">
        <v>16618.25</v>
      </c>
      <c r="AF73" s="67">
        <v>6396.49</v>
      </c>
      <c r="AG73" s="67">
        <v>10221.76</v>
      </c>
      <c r="AH73" s="68">
        <v>1013216.78</v>
      </c>
    </row>
    <row r="74" spans="5:35" x14ac:dyDescent="0.25">
      <c r="V74" s="66">
        <v>44</v>
      </c>
      <c r="W74" s="67">
        <v>13294.6</v>
      </c>
      <c r="X74" s="67">
        <v>5066.08</v>
      </c>
      <c r="Y74" s="67">
        <v>8228.51</v>
      </c>
      <c r="Z74" s="68">
        <v>802344.91</v>
      </c>
      <c r="AD74" s="66">
        <v>44</v>
      </c>
      <c r="AE74" s="67">
        <v>16618.25</v>
      </c>
      <c r="AF74" s="67">
        <v>6332.6</v>
      </c>
      <c r="AG74" s="67">
        <v>10285.64</v>
      </c>
      <c r="AH74" s="68">
        <v>1002931.14</v>
      </c>
    </row>
    <row r="75" spans="5:35" x14ac:dyDescent="0.25">
      <c r="V75" s="66">
        <v>45</v>
      </c>
      <c r="W75" s="67">
        <v>13294.6</v>
      </c>
      <c r="X75" s="67">
        <v>5014.66</v>
      </c>
      <c r="Y75" s="67">
        <v>8279.94</v>
      </c>
      <c r="Z75" s="68">
        <v>794064.97</v>
      </c>
      <c r="AD75" s="66">
        <v>45</v>
      </c>
      <c r="AE75" s="67">
        <v>16618.25</v>
      </c>
      <c r="AF75" s="67">
        <v>6268.32</v>
      </c>
      <c r="AG75" s="67">
        <v>10349.93</v>
      </c>
      <c r="AH75" s="68">
        <v>992581.21</v>
      </c>
    </row>
    <row r="76" spans="5:35" x14ac:dyDescent="0.25">
      <c r="V76" s="66">
        <v>46</v>
      </c>
      <c r="W76" s="67">
        <v>13294.6</v>
      </c>
      <c r="X76" s="67">
        <v>4962.91</v>
      </c>
      <c r="Y76" s="67">
        <v>8331.69</v>
      </c>
      <c r="Z76" s="68">
        <v>785733.28</v>
      </c>
      <c r="AD76" s="66">
        <v>46</v>
      </c>
      <c r="AE76" s="67">
        <v>16618.25</v>
      </c>
      <c r="AF76" s="67">
        <v>6203.63</v>
      </c>
      <c r="AG76" s="67">
        <v>10414.620000000001</v>
      </c>
      <c r="AH76" s="68">
        <v>982166.6</v>
      </c>
    </row>
    <row r="77" spans="5:35" x14ac:dyDescent="0.25">
      <c r="V77" s="66">
        <v>47</v>
      </c>
      <c r="W77" s="67">
        <v>13294.6</v>
      </c>
      <c r="X77" s="67">
        <v>4910.83</v>
      </c>
      <c r="Y77" s="67">
        <v>8383.77</v>
      </c>
      <c r="Z77" s="68">
        <v>777349.51</v>
      </c>
      <c r="AD77" s="66">
        <v>47</v>
      </c>
      <c r="AE77" s="67">
        <v>16618.25</v>
      </c>
      <c r="AF77" s="67">
        <v>6138.54</v>
      </c>
      <c r="AG77" s="67">
        <v>10479.709999999999</v>
      </c>
      <c r="AH77" s="68">
        <v>971686.89</v>
      </c>
    </row>
    <row r="78" spans="5:35" x14ac:dyDescent="0.25">
      <c r="V78" s="66">
        <v>48</v>
      </c>
      <c r="W78" s="67">
        <v>13294.6</v>
      </c>
      <c r="X78" s="67">
        <v>4858.43</v>
      </c>
      <c r="Y78" s="67">
        <v>8436.16</v>
      </c>
      <c r="Z78" s="68">
        <v>768913.35</v>
      </c>
      <c r="AA78" s="100">
        <f>Z78</f>
        <v>768913.35</v>
      </c>
      <c r="AD78" s="66">
        <v>48</v>
      </c>
      <c r="AE78" s="67">
        <v>16618.25</v>
      </c>
      <c r="AF78" s="67">
        <v>6073.04</v>
      </c>
      <c r="AG78" s="67">
        <v>10545.2</v>
      </c>
      <c r="AH78" s="68">
        <v>961141.69</v>
      </c>
      <c r="AI78" s="100">
        <f>AH78</f>
        <v>961141.69</v>
      </c>
    </row>
    <row r="79" spans="5:35" x14ac:dyDescent="0.25">
      <c r="V79" s="66">
        <v>49</v>
      </c>
      <c r="W79" s="67">
        <v>13294.6</v>
      </c>
      <c r="X79" s="67">
        <v>4805.71</v>
      </c>
      <c r="Y79" s="67">
        <v>8488.89</v>
      </c>
      <c r="Z79" s="68">
        <v>760424.46</v>
      </c>
      <c r="AD79" s="66">
        <v>49</v>
      </c>
      <c r="AE79" s="67">
        <v>16618.25</v>
      </c>
      <c r="AF79" s="67">
        <v>6007.14</v>
      </c>
      <c r="AG79" s="67">
        <v>10611.11</v>
      </c>
      <c r="AH79" s="68">
        <v>950530.57</v>
      </c>
    </row>
    <row r="80" spans="5:35" x14ac:dyDescent="0.25">
      <c r="V80" s="66">
        <v>50</v>
      </c>
      <c r="W80" s="67">
        <v>13294.6</v>
      </c>
      <c r="X80" s="67">
        <v>4752.6499999999996</v>
      </c>
      <c r="Y80" s="67">
        <v>8541.9500000000007</v>
      </c>
      <c r="Z80" s="68">
        <v>751882.51</v>
      </c>
      <c r="AD80" s="66">
        <v>50</v>
      </c>
      <c r="AE80" s="67">
        <v>16618.25</v>
      </c>
      <c r="AF80" s="67">
        <v>5940.82</v>
      </c>
      <c r="AG80" s="67">
        <v>10677.43</v>
      </c>
      <c r="AH80" s="68">
        <v>939853.14</v>
      </c>
    </row>
    <row r="81" spans="22:35" x14ac:dyDescent="0.25">
      <c r="V81" s="66">
        <v>51</v>
      </c>
      <c r="W81" s="67">
        <v>13294.6</v>
      </c>
      <c r="X81" s="67">
        <v>4699.2700000000004</v>
      </c>
      <c r="Y81" s="67">
        <v>8595.33</v>
      </c>
      <c r="Z81" s="68">
        <v>743287.18</v>
      </c>
      <c r="AD81" s="66">
        <v>51</v>
      </c>
      <c r="AE81" s="67">
        <v>16618.25</v>
      </c>
      <c r="AF81" s="67">
        <v>5874.08</v>
      </c>
      <c r="AG81" s="67">
        <v>10744.17</v>
      </c>
      <c r="AH81" s="68">
        <v>929108.98</v>
      </c>
    </row>
    <row r="82" spans="22:35" x14ac:dyDescent="0.25">
      <c r="V82" s="66">
        <v>52</v>
      </c>
      <c r="W82" s="67">
        <v>13294.6</v>
      </c>
      <c r="X82" s="67">
        <v>4645.54</v>
      </c>
      <c r="Y82" s="67">
        <v>8649.0499999999993</v>
      </c>
      <c r="Z82" s="68">
        <v>734638.13</v>
      </c>
      <c r="AD82" s="66">
        <v>52</v>
      </c>
      <c r="AE82" s="67">
        <v>16618.25</v>
      </c>
      <c r="AF82" s="67">
        <v>5806.93</v>
      </c>
      <c r="AG82" s="67">
        <v>10811.32</v>
      </c>
      <c r="AH82" s="68">
        <v>918297.66</v>
      </c>
    </row>
    <row r="83" spans="22:35" x14ac:dyDescent="0.25">
      <c r="V83" s="66">
        <v>53</v>
      </c>
      <c r="W83" s="67">
        <v>13294.6</v>
      </c>
      <c r="X83" s="67">
        <v>4591.49</v>
      </c>
      <c r="Y83" s="67">
        <v>8703.11</v>
      </c>
      <c r="Z83" s="68">
        <v>725935.02</v>
      </c>
      <c r="AD83" s="66">
        <v>53</v>
      </c>
      <c r="AE83" s="67">
        <v>16618.25</v>
      </c>
      <c r="AF83" s="67">
        <v>5739.36</v>
      </c>
      <c r="AG83" s="67">
        <v>10878.89</v>
      </c>
      <c r="AH83" s="68">
        <v>907418.77</v>
      </c>
    </row>
    <row r="84" spans="22:35" x14ac:dyDescent="0.25">
      <c r="V84" s="66">
        <v>54</v>
      </c>
      <c r="W84" s="67">
        <v>13294.6</v>
      </c>
      <c r="X84" s="67">
        <v>4537.09</v>
      </c>
      <c r="Y84" s="67">
        <v>8757.5</v>
      </c>
      <c r="Z84" s="68">
        <v>717177.51</v>
      </c>
      <c r="AD84" s="66">
        <v>54</v>
      </c>
      <c r="AE84" s="67">
        <v>16618.25</v>
      </c>
      <c r="AF84" s="67">
        <v>5671.37</v>
      </c>
      <c r="AG84" s="67">
        <v>10946.88</v>
      </c>
      <c r="AH84" s="68">
        <v>896471.89</v>
      </c>
    </row>
    <row r="85" spans="22:35" x14ac:dyDescent="0.25">
      <c r="V85" s="66">
        <v>55</v>
      </c>
      <c r="W85" s="67">
        <v>13294.6</v>
      </c>
      <c r="X85" s="67">
        <v>4482.3599999999997</v>
      </c>
      <c r="Y85" s="67">
        <v>8812.24</v>
      </c>
      <c r="Z85" s="68">
        <v>708365.28</v>
      </c>
      <c r="AD85" s="66">
        <v>55</v>
      </c>
      <c r="AE85" s="67">
        <v>16618.25</v>
      </c>
      <c r="AF85" s="67">
        <v>5602.95</v>
      </c>
      <c r="AG85" s="67">
        <v>11015.3</v>
      </c>
      <c r="AH85" s="68">
        <v>885456.59</v>
      </c>
    </row>
    <row r="86" spans="22:35" x14ac:dyDescent="0.25">
      <c r="V86" s="66">
        <v>56</v>
      </c>
      <c r="W86" s="67">
        <v>13294.6</v>
      </c>
      <c r="X86" s="67">
        <v>4427.28</v>
      </c>
      <c r="Y86" s="67">
        <v>8867.32</v>
      </c>
      <c r="Z86" s="68">
        <v>699497.96</v>
      </c>
      <c r="AD86" s="66">
        <v>56</v>
      </c>
      <c r="AE86" s="67">
        <v>16618.25</v>
      </c>
      <c r="AF86" s="67">
        <v>5534.1</v>
      </c>
      <c r="AG86" s="67">
        <v>11084.14</v>
      </c>
      <c r="AH86" s="68">
        <v>874372.45</v>
      </c>
    </row>
    <row r="87" spans="22:35" x14ac:dyDescent="0.25">
      <c r="V87" s="66">
        <v>57</v>
      </c>
      <c r="W87" s="67">
        <v>13294.6</v>
      </c>
      <c r="X87" s="67">
        <v>4371.8599999999997</v>
      </c>
      <c r="Y87" s="67">
        <v>8922.74</v>
      </c>
      <c r="Z87" s="68">
        <v>690575.22</v>
      </c>
      <c r="AD87" s="66">
        <v>57</v>
      </c>
      <c r="AE87" s="67">
        <v>16618.25</v>
      </c>
      <c r="AF87" s="67">
        <v>5464.83</v>
      </c>
      <c r="AG87" s="67">
        <v>11153.42</v>
      </c>
      <c r="AH87" s="68">
        <v>863219.03</v>
      </c>
    </row>
    <row r="88" spans="22:35" x14ac:dyDescent="0.25">
      <c r="V88" s="66">
        <v>58</v>
      </c>
      <c r="W88" s="67">
        <v>13294.6</v>
      </c>
      <c r="X88" s="67">
        <v>4316.1000000000004</v>
      </c>
      <c r="Y88" s="67">
        <v>8978.5</v>
      </c>
      <c r="Z88" s="68">
        <v>681596.72</v>
      </c>
      <c r="AD88" s="66">
        <v>58</v>
      </c>
      <c r="AE88" s="67">
        <v>16618.25</v>
      </c>
      <c r="AF88" s="67">
        <v>5395.12</v>
      </c>
      <c r="AG88" s="67">
        <v>11223.13</v>
      </c>
      <c r="AH88" s="68">
        <v>851995.9</v>
      </c>
    </row>
    <row r="89" spans="22:35" x14ac:dyDescent="0.25">
      <c r="V89" s="66">
        <v>59</v>
      </c>
      <c r="W89" s="67">
        <v>13294.6</v>
      </c>
      <c r="X89" s="67">
        <v>4259.9799999999996</v>
      </c>
      <c r="Y89" s="67">
        <v>9034.6200000000008</v>
      </c>
      <c r="Z89" s="68">
        <v>672562.1</v>
      </c>
      <c r="AD89" s="66">
        <v>59</v>
      </c>
      <c r="AE89" s="67">
        <v>16618.25</v>
      </c>
      <c r="AF89" s="67">
        <v>5324.97</v>
      </c>
      <c r="AG89" s="67">
        <v>11293.27</v>
      </c>
      <c r="AH89" s="68">
        <v>840702.63</v>
      </c>
    </row>
    <row r="90" spans="22:35" x14ac:dyDescent="0.25">
      <c r="V90" s="66">
        <v>60</v>
      </c>
      <c r="W90" s="67">
        <v>13294.6</v>
      </c>
      <c r="X90" s="67">
        <v>4203.51</v>
      </c>
      <c r="Y90" s="67">
        <v>9091.09</v>
      </c>
      <c r="Z90" s="68">
        <v>663471.02</v>
      </c>
      <c r="AA90" s="100">
        <f>Z90</f>
        <v>663471.02</v>
      </c>
      <c r="AD90" s="66">
        <v>60</v>
      </c>
      <c r="AE90" s="67">
        <v>16618.25</v>
      </c>
      <c r="AF90" s="67">
        <v>5254.39</v>
      </c>
      <c r="AG90" s="67">
        <v>11363.86</v>
      </c>
      <c r="AH90" s="68">
        <v>829338.77</v>
      </c>
      <c r="AI90" s="100">
        <f>AH90</f>
        <v>829338.77</v>
      </c>
    </row>
    <row r="91" spans="22:35" x14ac:dyDescent="0.25">
      <c r="V91" s="66">
        <v>61</v>
      </c>
      <c r="W91" s="67">
        <v>13294.6</v>
      </c>
      <c r="X91" s="67">
        <v>4146.6899999999996</v>
      </c>
      <c r="Y91" s="67">
        <v>9147.9</v>
      </c>
      <c r="Z91" s="68">
        <v>654323.11</v>
      </c>
      <c r="AD91" s="66">
        <v>61</v>
      </c>
      <c r="AE91" s="67">
        <v>16618.25</v>
      </c>
      <c r="AF91" s="67">
        <v>5183.37</v>
      </c>
      <c r="AG91" s="67">
        <v>11434.88</v>
      </c>
      <c r="AH91" s="68">
        <v>817903.89</v>
      </c>
    </row>
    <row r="92" spans="22:35" x14ac:dyDescent="0.25">
      <c r="V92" s="66">
        <v>62</v>
      </c>
      <c r="W92" s="67">
        <v>13294.6</v>
      </c>
      <c r="X92" s="67">
        <v>4089.52</v>
      </c>
      <c r="Y92" s="67">
        <v>9205.08</v>
      </c>
      <c r="Z92" s="68">
        <v>645118.03</v>
      </c>
      <c r="AD92" s="66">
        <v>62</v>
      </c>
      <c r="AE92" s="67">
        <v>16618.25</v>
      </c>
      <c r="AF92" s="67">
        <v>5111.8999999999996</v>
      </c>
      <c r="AG92" s="67">
        <v>11506.35</v>
      </c>
      <c r="AH92" s="68">
        <v>806397.54</v>
      </c>
    </row>
    <row r="93" spans="22:35" x14ac:dyDescent="0.25">
      <c r="V93" s="66">
        <v>63</v>
      </c>
      <c r="W93" s="67">
        <v>13294.6</v>
      </c>
      <c r="X93" s="67">
        <v>4031.99</v>
      </c>
      <c r="Y93" s="67">
        <v>9262.61</v>
      </c>
      <c r="Z93" s="68">
        <v>635855.42000000004</v>
      </c>
      <c r="AD93" s="66">
        <v>63</v>
      </c>
      <c r="AE93" s="67">
        <v>16618.25</v>
      </c>
      <c r="AF93" s="67">
        <v>5039.9799999999996</v>
      </c>
      <c r="AG93" s="67">
        <v>11578.26</v>
      </c>
      <c r="AH93" s="68">
        <v>794819.28</v>
      </c>
    </row>
    <row r="94" spans="22:35" x14ac:dyDescent="0.25">
      <c r="V94" s="66">
        <v>64</v>
      </c>
      <c r="W94" s="67">
        <v>13294.6</v>
      </c>
      <c r="X94" s="67">
        <v>3974.1</v>
      </c>
      <c r="Y94" s="67">
        <v>9320.5</v>
      </c>
      <c r="Z94" s="68">
        <v>626534.92000000004</v>
      </c>
      <c r="AD94" s="66">
        <v>64</v>
      </c>
      <c r="AE94" s="67">
        <v>16618.25</v>
      </c>
      <c r="AF94" s="67">
        <v>4967.62</v>
      </c>
      <c r="AG94" s="67">
        <v>11650.63</v>
      </c>
      <c r="AH94" s="68">
        <v>783168.65</v>
      </c>
    </row>
    <row r="95" spans="22:35" x14ac:dyDescent="0.25">
      <c r="V95" s="66">
        <v>65</v>
      </c>
      <c r="W95" s="67">
        <v>13294.6</v>
      </c>
      <c r="X95" s="67">
        <v>3915.84</v>
      </c>
      <c r="Y95" s="67">
        <v>9378.75</v>
      </c>
      <c r="Z95" s="68">
        <v>617156.17000000004</v>
      </c>
      <c r="AD95" s="66">
        <v>65</v>
      </c>
      <c r="AE95" s="67">
        <v>16618.25</v>
      </c>
      <c r="AF95" s="67">
        <v>4894.8</v>
      </c>
      <c r="AG95" s="67">
        <v>11723.44</v>
      </c>
      <c r="AH95" s="68">
        <v>771445.21</v>
      </c>
    </row>
    <row r="96" spans="22:35" x14ac:dyDescent="0.25">
      <c r="V96" s="66">
        <v>66</v>
      </c>
      <c r="W96" s="67">
        <v>13294.6</v>
      </c>
      <c r="X96" s="67">
        <v>3857.23</v>
      </c>
      <c r="Y96" s="67">
        <v>9437.3700000000008</v>
      </c>
      <c r="Z96" s="68">
        <v>607718.80000000005</v>
      </c>
      <c r="AD96" s="66">
        <v>66</v>
      </c>
      <c r="AE96" s="67">
        <v>16618.25</v>
      </c>
      <c r="AF96" s="67">
        <v>4821.53</v>
      </c>
      <c r="AG96" s="67">
        <v>11796.72</v>
      </c>
      <c r="AH96" s="68">
        <v>759648.49</v>
      </c>
    </row>
    <row r="97" spans="22:35" x14ac:dyDescent="0.25">
      <c r="V97" s="66">
        <v>67</v>
      </c>
      <c r="W97" s="67">
        <v>13294.6</v>
      </c>
      <c r="X97" s="67">
        <v>3798.24</v>
      </c>
      <c r="Y97" s="67">
        <v>9496.36</v>
      </c>
      <c r="Z97" s="68">
        <v>598222.43999999994</v>
      </c>
      <c r="AD97" s="66">
        <v>67</v>
      </c>
      <c r="AE97" s="67">
        <v>16618.25</v>
      </c>
      <c r="AF97" s="67">
        <v>4747.8</v>
      </c>
      <c r="AG97" s="67">
        <v>11870.44</v>
      </c>
      <c r="AH97" s="68">
        <v>747778.05</v>
      </c>
    </row>
    <row r="98" spans="22:35" x14ac:dyDescent="0.25">
      <c r="V98" s="66">
        <v>68</v>
      </c>
      <c r="W98" s="67">
        <v>13294.6</v>
      </c>
      <c r="X98" s="67">
        <v>3738.89</v>
      </c>
      <c r="Y98" s="67">
        <v>9555.7099999999991</v>
      </c>
      <c r="Z98" s="68">
        <v>588666.73</v>
      </c>
      <c r="AD98" s="66">
        <v>68</v>
      </c>
      <c r="AE98" s="67">
        <v>16618.25</v>
      </c>
      <c r="AF98" s="67">
        <v>4673.6099999999997</v>
      </c>
      <c r="AG98" s="67">
        <v>11944.63</v>
      </c>
      <c r="AH98" s="68">
        <v>735833.41</v>
      </c>
    </row>
    <row r="99" spans="22:35" x14ac:dyDescent="0.25">
      <c r="V99" s="66">
        <v>69</v>
      </c>
      <c r="W99" s="67">
        <v>13294.6</v>
      </c>
      <c r="X99" s="67">
        <v>3679.17</v>
      </c>
      <c r="Y99" s="67">
        <v>9615.43</v>
      </c>
      <c r="Z99" s="68">
        <v>579051.30000000005</v>
      </c>
      <c r="AD99" s="66">
        <v>69</v>
      </c>
      <c r="AE99" s="67">
        <v>16618.25</v>
      </c>
      <c r="AF99" s="67">
        <v>4598.96</v>
      </c>
      <c r="AG99" s="67">
        <v>12019.29</v>
      </c>
      <c r="AH99" s="68">
        <v>723814.13</v>
      </c>
    </row>
    <row r="100" spans="22:35" x14ac:dyDescent="0.25">
      <c r="V100" s="66">
        <v>70</v>
      </c>
      <c r="W100" s="67">
        <v>13294.6</v>
      </c>
      <c r="X100" s="67">
        <v>3619.07</v>
      </c>
      <c r="Y100" s="67">
        <v>9675.5300000000007</v>
      </c>
      <c r="Z100" s="68">
        <v>569375.77</v>
      </c>
      <c r="AD100" s="66">
        <v>70</v>
      </c>
      <c r="AE100" s="67">
        <v>16618.25</v>
      </c>
      <c r="AF100" s="67">
        <v>4523.84</v>
      </c>
      <c r="AG100" s="67">
        <v>12094.41</v>
      </c>
      <c r="AH100" s="68">
        <v>711719.72</v>
      </c>
    </row>
    <row r="101" spans="22:35" x14ac:dyDescent="0.25">
      <c r="V101" s="66">
        <v>71</v>
      </c>
      <c r="W101" s="67">
        <v>13294.6</v>
      </c>
      <c r="X101" s="67">
        <v>3558.6</v>
      </c>
      <c r="Y101" s="67">
        <v>9736</v>
      </c>
      <c r="Z101" s="68">
        <v>559639.77</v>
      </c>
      <c r="AD101" s="66">
        <v>71</v>
      </c>
      <c r="AE101" s="67">
        <v>16618.25</v>
      </c>
      <c r="AF101" s="67">
        <v>4448.25</v>
      </c>
      <c r="AG101" s="67">
        <v>12170</v>
      </c>
      <c r="AH101" s="68">
        <v>699549.72</v>
      </c>
    </row>
    <row r="102" spans="22:35" x14ac:dyDescent="0.25">
      <c r="V102" s="66">
        <v>72</v>
      </c>
      <c r="W102" s="67">
        <v>13294.6</v>
      </c>
      <c r="X102" s="67">
        <v>3497.75</v>
      </c>
      <c r="Y102" s="67">
        <v>9796.85</v>
      </c>
      <c r="Z102" s="68">
        <v>549842.92000000004</v>
      </c>
      <c r="AA102" s="100">
        <f>Z102</f>
        <v>549842.92000000004</v>
      </c>
      <c r="AD102" s="66">
        <v>72</v>
      </c>
      <c r="AE102" s="67">
        <v>16618.25</v>
      </c>
      <c r="AF102" s="67">
        <v>4372.1899999999996</v>
      </c>
      <c r="AG102" s="67">
        <v>12246.06</v>
      </c>
      <c r="AH102" s="68">
        <v>687303.66</v>
      </c>
      <c r="AI102" s="100">
        <f>AH102</f>
        <v>687303.66</v>
      </c>
    </row>
    <row r="103" spans="22:35" x14ac:dyDescent="0.25">
      <c r="V103" s="66">
        <v>73</v>
      </c>
      <c r="W103" s="67">
        <v>13294.6</v>
      </c>
      <c r="X103" s="67">
        <v>3436.52</v>
      </c>
      <c r="Y103" s="67">
        <v>9858.08</v>
      </c>
      <c r="Z103" s="68">
        <v>539984.84</v>
      </c>
      <c r="AD103" s="66">
        <v>73</v>
      </c>
      <c r="AE103" s="67">
        <v>16618.25</v>
      </c>
      <c r="AF103" s="67">
        <v>4295.6499999999996</v>
      </c>
      <c r="AG103" s="67">
        <v>12322.6</v>
      </c>
      <c r="AH103" s="68">
        <v>674981.06</v>
      </c>
    </row>
    <row r="104" spans="22:35" x14ac:dyDescent="0.25">
      <c r="V104" s="66">
        <v>74</v>
      </c>
      <c r="W104" s="67">
        <v>13294.6</v>
      </c>
      <c r="X104" s="67">
        <v>3374.91</v>
      </c>
      <c r="Y104" s="67">
        <v>9919.69</v>
      </c>
      <c r="Z104" s="68">
        <v>530065.15</v>
      </c>
      <c r="AD104" s="66">
        <v>74</v>
      </c>
      <c r="AE104" s="67">
        <v>16618.25</v>
      </c>
      <c r="AF104" s="67">
        <v>4218.63</v>
      </c>
      <c r="AG104" s="67">
        <v>12399.62</v>
      </c>
      <c r="AH104" s="68">
        <v>662581.43999999994</v>
      </c>
    </row>
    <row r="105" spans="22:35" x14ac:dyDescent="0.25">
      <c r="V105" s="66">
        <v>75</v>
      </c>
      <c r="W105" s="67">
        <v>13294.6</v>
      </c>
      <c r="X105" s="67">
        <v>3312.91</v>
      </c>
      <c r="Y105" s="67">
        <v>9981.69</v>
      </c>
      <c r="Z105" s="68">
        <v>520083.46</v>
      </c>
      <c r="AD105" s="66">
        <v>75</v>
      </c>
      <c r="AE105" s="67">
        <v>16618.25</v>
      </c>
      <c r="AF105" s="67">
        <v>4141.13</v>
      </c>
      <c r="AG105" s="67">
        <v>12477.11</v>
      </c>
      <c r="AH105" s="68">
        <v>650104.32999999996</v>
      </c>
    </row>
    <row r="106" spans="22:35" x14ac:dyDescent="0.25">
      <c r="V106" s="66">
        <v>76</v>
      </c>
      <c r="W106" s="67">
        <v>13294.6</v>
      </c>
      <c r="X106" s="67">
        <v>3250.52</v>
      </c>
      <c r="Y106" s="67">
        <v>10044.08</v>
      </c>
      <c r="Z106" s="68">
        <v>510039.38</v>
      </c>
      <c r="AD106" s="66">
        <v>76</v>
      </c>
      <c r="AE106" s="67">
        <v>16618.25</v>
      </c>
      <c r="AF106" s="67">
        <v>4063.15</v>
      </c>
      <c r="AG106" s="67">
        <v>12555.1</v>
      </c>
      <c r="AH106" s="68">
        <v>637549.23</v>
      </c>
    </row>
    <row r="107" spans="22:35" x14ac:dyDescent="0.25">
      <c r="V107" s="66">
        <v>77</v>
      </c>
      <c r="W107" s="67">
        <v>13294.6</v>
      </c>
      <c r="X107" s="67">
        <v>3187.75</v>
      </c>
      <c r="Y107" s="67">
        <v>10106.85</v>
      </c>
      <c r="Z107" s="68">
        <v>499932.53</v>
      </c>
      <c r="AD107" s="66">
        <v>77</v>
      </c>
      <c r="AE107" s="67">
        <v>16618.25</v>
      </c>
      <c r="AF107" s="67">
        <v>3984.68</v>
      </c>
      <c r="AG107" s="67">
        <v>12633.56</v>
      </c>
      <c r="AH107" s="68">
        <v>624915.66</v>
      </c>
    </row>
    <row r="108" spans="22:35" x14ac:dyDescent="0.25">
      <c r="V108" s="66">
        <v>78</v>
      </c>
      <c r="W108" s="67">
        <v>13294.6</v>
      </c>
      <c r="X108" s="67">
        <v>3124.58</v>
      </c>
      <c r="Y108" s="67">
        <v>10170.02</v>
      </c>
      <c r="Z108" s="68">
        <v>489762.51</v>
      </c>
      <c r="AD108" s="66">
        <v>78</v>
      </c>
      <c r="AE108" s="67">
        <v>16618.25</v>
      </c>
      <c r="AF108" s="67">
        <v>3905.72</v>
      </c>
      <c r="AG108" s="67">
        <v>12712.52</v>
      </c>
      <c r="AH108" s="68">
        <v>612203.14</v>
      </c>
    </row>
    <row r="109" spans="22:35" x14ac:dyDescent="0.25">
      <c r="V109" s="66">
        <v>79</v>
      </c>
      <c r="W109" s="67">
        <v>13294.6</v>
      </c>
      <c r="X109" s="67">
        <v>3061.02</v>
      </c>
      <c r="Y109" s="67">
        <v>10233.58</v>
      </c>
      <c r="Z109" s="68">
        <v>479528.93</v>
      </c>
      <c r="AD109" s="66">
        <v>79</v>
      </c>
      <c r="AE109" s="67">
        <v>16618.25</v>
      </c>
      <c r="AF109" s="67">
        <v>3826.27</v>
      </c>
      <c r="AG109" s="67">
        <v>12791.98</v>
      </c>
      <c r="AH109" s="68">
        <v>599411.16</v>
      </c>
    </row>
    <row r="110" spans="22:35" x14ac:dyDescent="0.25">
      <c r="V110" s="66">
        <v>80</v>
      </c>
      <c r="W110" s="67">
        <v>13294.6</v>
      </c>
      <c r="X110" s="67">
        <v>2997.06</v>
      </c>
      <c r="Y110" s="67">
        <v>10297.540000000001</v>
      </c>
      <c r="Z110" s="68">
        <v>469231.39</v>
      </c>
      <c r="AD110" s="66">
        <v>80</v>
      </c>
      <c r="AE110" s="67">
        <v>16618.25</v>
      </c>
      <c r="AF110" s="67">
        <v>3746.32</v>
      </c>
      <c r="AG110" s="67">
        <v>12871.93</v>
      </c>
      <c r="AH110" s="68">
        <v>586539.23</v>
      </c>
    </row>
    <row r="111" spans="22:35" x14ac:dyDescent="0.25">
      <c r="V111" s="66">
        <v>81</v>
      </c>
      <c r="W111" s="67">
        <v>13294.6</v>
      </c>
      <c r="X111" s="67">
        <v>2932.7</v>
      </c>
      <c r="Y111" s="67">
        <v>10361.9</v>
      </c>
      <c r="Z111" s="68">
        <v>458869.49</v>
      </c>
      <c r="AD111" s="66">
        <v>81</v>
      </c>
      <c r="AE111" s="67">
        <v>16618.25</v>
      </c>
      <c r="AF111" s="67">
        <v>3665.87</v>
      </c>
      <c r="AG111" s="67">
        <v>12952.38</v>
      </c>
      <c r="AH111" s="68">
        <v>573586.86</v>
      </c>
    </row>
    <row r="112" spans="22:35" x14ac:dyDescent="0.25">
      <c r="V112" s="66">
        <v>82</v>
      </c>
      <c r="W112" s="67">
        <v>13294.6</v>
      </c>
      <c r="X112" s="67">
        <v>2867.93</v>
      </c>
      <c r="Y112" s="67">
        <v>10426.66</v>
      </c>
      <c r="Z112" s="68">
        <v>448442.82</v>
      </c>
      <c r="AD112" s="66">
        <v>82</v>
      </c>
      <c r="AE112" s="67">
        <v>16618.25</v>
      </c>
      <c r="AF112" s="67">
        <v>3584.92</v>
      </c>
      <c r="AG112" s="67">
        <v>13033.33</v>
      </c>
      <c r="AH112" s="68">
        <v>560553.53</v>
      </c>
    </row>
    <row r="113" spans="22:35" x14ac:dyDescent="0.25">
      <c r="V113" s="66">
        <v>83</v>
      </c>
      <c r="W113" s="67">
        <v>13294.6</v>
      </c>
      <c r="X113" s="67">
        <v>2802.77</v>
      </c>
      <c r="Y113" s="67">
        <v>10491.83</v>
      </c>
      <c r="Z113" s="68">
        <v>437950.99</v>
      </c>
      <c r="AD113" s="66">
        <v>83</v>
      </c>
      <c r="AE113" s="67">
        <v>16618.25</v>
      </c>
      <c r="AF113" s="67">
        <v>3503.46</v>
      </c>
      <c r="AG113" s="67">
        <v>13114.79</v>
      </c>
      <c r="AH113" s="68">
        <v>547438.74</v>
      </c>
    </row>
    <row r="114" spans="22:35" x14ac:dyDescent="0.25">
      <c r="V114" s="66">
        <v>84</v>
      </c>
      <c r="W114" s="67">
        <v>13294.6</v>
      </c>
      <c r="X114" s="67">
        <v>2737.19</v>
      </c>
      <c r="Y114" s="67">
        <v>10557.4</v>
      </c>
      <c r="Z114" s="68">
        <v>427393.59</v>
      </c>
      <c r="AA114" s="100">
        <f>Z114</f>
        <v>427393.59</v>
      </c>
      <c r="AD114" s="66">
        <v>84</v>
      </c>
      <c r="AE114" s="67">
        <v>16618.25</v>
      </c>
      <c r="AF114" s="67">
        <v>3421.49</v>
      </c>
      <c r="AG114" s="67">
        <v>13196.76</v>
      </c>
      <c r="AH114" s="68">
        <v>534241.98</v>
      </c>
      <c r="AI114" s="100">
        <f>AH114</f>
        <v>534241.98</v>
      </c>
    </row>
    <row r="115" spans="22:35" x14ac:dyDescent="0.25">
      <c r="V115" s="66">
        <v>85</v>
      </c>
      <c r="W115" s="67">
        <v>13294.6</v>
      </c>
      <c r="X115" s="67">
        <v>2671.21</v>
      </c>
      <c r="Y115" s="67">
        <v>10623.39</v>
      </c>
      <c r="Z115" s="68">
        <v>416770.2</v>
      </c>
      <c r="AD115" s="66">
        <v>85</v>
      </c>
      <c r="AE115" s="67">
        <v>16618.25</v>
      </c>
      <c r="AF115" s="67">
        <v>3339.01</v>
      </c>
      <c r="AG115" s="67">
        <v>13279.24</v>
      </c>
      <c r="AH115" s="68">
        <v>520962.75</v>
      </c>
    </row>
    <row r="116" spans="22:35" x14ac:dyDescent="0.25">
      <c r="V116" s="66">
        <v>86</v>
      </c>
      <c r="W116" s="67">
        <v>13294.6</v>
      </c>
      <c r="X116" s="67">
        <v>2604.81</v>
      </c>
      <c r="Y116" s="67">
        <v>10689.78</v>
      </c>
      <c r="Z116" s="68">
        <v>406080.41</v>
      </c>
      <c r="AD116" s="66">
        <v>86</v>
      </c>
      <c r="AE116" s="67">
        <v>16618.25</v>
      </c>
      <c r="AF116" s="67">
        <v>3256.02</v>
      </c>
      <c r="AG116" s="67">
        <v>13362.23</v>
      </c>
      <c r="AH116" s="68">
        <v>507600.52</v>
      </c>
    </row>
    <row r="117" spans="22:35" x14ac:dyDescent="0.25">
      <c r="V117" s="66">
        <v>87</v>
      </c>
      <c r="W117" s="67">
        <v>13294.6</v>
      </c>
      <c r="X117" s="67">
        <v>2538</v>
      </c>
      <c r="Y117" s="67">
        <v>10756.6</v>
      </c>
      <c r="Z117" s="68">
        <v>395323.82</v>
      </c>
      <c r="AD117" s="66">
        <v>87</v>
      </c>
      <c r="AE117" s="67">
        <v>16618.25</v>
      </c>
      <c r="AF117" s="67">
        <v>3172.5</v>
      </c>
      <c r="AG117" s="67">
        <v>13445.74</v>
      </c>
      <c r="AH117" s="68">
        <v>494154.77</v>
      </c>
    </row>
    <row r="118" spans="22:35" x14ac:dyDescent="0.25">
      <c r="V118" s="66">
        <v>88</v>
      </c>
      <c r="W118" s="67">
        <v>13294.6</v>
      </c>
      <c r="X118" s="67">
        <v>2470.77</v>
      </c>
      <c r="Y118" s="67">
        <v>10823.82</v>
      </c>
      <c r="Z118" s="68">
        <v>384499.99</v>
      </c>
      <c r="AD118" s="66">
        <v>88</v>
      </c>
      <c r="AE118" s="67">
        <v>16618.25</v>
      </c>
      <c r="AF118" s="67">
        <v>3088.47</v>
      </c>
      <c r="AG118" s="67">
        <v>13529.78</v>
      </c>
      <c r="AH118" s="68">
        <v>480624.99</v>
      </c>
    </row>
    <row r="119" spans="22:35" x14ac:dyDescent="0.25">
      <c r="V119" s="66">
        <v>89</v>
      </c>
      <c r="W119" s="67">
        <v>13294.6</v>
      </c>
      <c r="X119" s="67">
        <v>2403.12</v>
      </c>
      <c r="Y119" s="67">
        <v>10891.47</v>
      </c>
      <c r="Z119" s="68">
        <v>373608.52</v>
      </c>
      <c r="AD119" s="66">
        <v>89</v>
      </c>
      <c r="AE119" s="67">
        <v>16618.25</v>
      </c>
      <c r="AF119" s="67">
        <v>3003.91</v>
      </c>
      <c r="AG119" s="67">
        <v>13614.34</v>
      </c>
      <c r="AH119" s="68">
        <v>467010.65</v>
      </c>
    </row>
    <row r="120" spans="22:35" x14ac:dyDescent="0.25">
      <c r="V120" s="66">
        <v>90</v>
      </c>
      <c r="W120" s="67">
        <v>13294.6</v>
      </c>
      <c r="X120" s="67">
        <v>2335.0500000000002</v>
      </c>
      <c r="Y120" s="67">
        <v>10959.54</v>
      </c>
      <c r="Z120" s="68">
        <v>362648.98</v>
      </c>
      <c r="AD120" s="66">
        <v>90</v>
      </c>
      <c r="AE120" s="67">
        <v>16618.25</v>
      </c>
      <c r="AF120" s="67">
        <v>2918.82</v>
      </c>
      <c r="AG120" s="67">
        <v>13699.43</v>
      </c>
      <c r="AH120" s="68">
        <v>453311.22</v>
      </c>
    </row>
    <row r="121" spans="22:35" x14ac:dyDescent="0.25">
      <c r="V121" s="66">
        <v>91</v>
      </c>
      <c r="W121" s="67">
        <v>13294.6</v>
      </c>
      <c r="X121" s="67">
        <v>2266.56</v>
      </c>
      <c r="Y121" s="67">
        <v>11028.04</v>
      </c>
      <c r="Z121" s="68">
        <v>351620.93</v>
      </c>
      <c r="AD121" s="66">
        <v>91</v>
      </c>
      <c r="AE121" s="67">
        <v>16618.25</v>
      </c>
      <c r="AF121" s="67">
        <v>2833.2</v>
      </c>
      <c r="AG121" s="67">
        <v>13785.05</v>
      </c>
      <c r="AH121" s="68">
        <v>439526.17</v>
      </c>
    </row>
    <row r="122" spans="22:35" x14ac:dyDescent="0.25">
      <c r="V122" s="66">
        <v>92</v>
      </c>
      <c r="W122" s="67">
        <v>13294.6</v>
      </c>
      <c r="X122" s="67">
        <v>2197.63</v>
      </c>
      <c r="Y122" s="67">
        <v>11096.97</v>
      </c>
      <c r="Z122" s="68">
        <v>340523.97</v>
      </c>
      <c r="AD122" s="66">
        <v>92</v>
      </c>
      <c r="AE122" s="67">
        <v>16618.25</v>
      </c>
      <c r="AF122" s="67">
        <v>2747.04</v>
      </c>
      <c r="AG122" s="67">
        <v>13871.21</v>
      </c>
      <c r="AH122" s="68">
        <v>425654.96</v>
      </c>
    </row>
    <row r="123" spans="22:35" x14ac:dyDescent="0.25">
      <c r="V123" s="66">
        <v>93</v>
      </c>
      <c r="W123" s="67">
        <v>13294.6</v>
      </c>
      <c r="X123" s="67">
        <v>2128.27</v>
      </c>
      <c r="Y123" s="67">
        <v>11166.32</v>
      </c>
      <c r="Z123" s="68">
        <v>329357.64</v>
      </c>
      <c r="AD123" s="66">
        <v>93</v>
      </c>
      <c r="AE123" s="67">
        <v>16618.25</v>
      </c>
      <c r="AF123" s="67">
        <v>2660.34</v>
      </c>
      <c r="AG123" s="67">
        <v>13957.9</v>
      </c>
      <c r="AH123" s="68">
        <v>411697.05</v>
      </c>
    </row>
    <row r="124" spans="22:35" x14ac:dyDescent="0.25">
      <c r="V124" s="66">
        <v>94</v>
      </c>
      <c r="W124" s="67">
        <v>13294.6</v>
      </c>
      <c r="X124" s="67">
        <v>2058.4899999999998</v>
      </c>
      <c r="Y124" s="67">
        <v>11236.11</v>
      </c>
      <c r="Z124" s="68">
        <v>318121.53000000003</v>
      </c>
      <c r="AD124" s="66">
        <v>94</v>
      </c>
      <c r="AE124" s="67">
        <v>16618.25</v>
      </c>
      <c r="AF124" s="67">
        <v>2573.11</v>
      </c>
      <c r="AG124" s="67">
        <v>14045.14</v>
      </c>
      <c r="AH124" s="68">
        <v>397651.91</v>
      </c>
    </row>
    <row r="125" spans="22:35" x14ac:dyDescent="0.25">
      <c r="V125" s="66">
        <v>95</v>
      </c>
      <c r="W125" s="67">
        <v>13294.6</v>
      </c>
      <c r="X125" s="67">
        <v>1988.26</v>
      </c>
      <c r="Y125" s="67">
        <v>11306.34</v>
      </c>
      <c r="Z125" s="68">
        <v>306815.19</v>
      </c>
      <c r="AD125" s="66">
        <v>95</v>
      </c>
      <c r="AE125" s="67">
        <v>16618.25</v>
      </c>
      <c r="AF125" s="67">
        <v>2485.3200000000002</v>
      </c>
      <c r="AG125" s="67">
        <v>14132.92</v>
      </c>
      <c r="AH125" s="68">
        <v>383518.99</v>
      </c>
    </row>
    <row r="126" spans="22:35" x14ac:dyDescent="0.25">
      <c r="V126" s="66">
        <v>96</v>
      </c>
      <c r="W126" s="67">
        <v>13294.6</v>
      </c>
      <c r="X126" s="67">
        <v>1917.59</v>
      </c>
      <c r="Y126" s="67">
        <v>11377</v>
      </c>
      <c r="Z126" s="68">
        <v>295438.19</v>
      </c>
      <c r="AA126" s="100">
        <f>Z126</f>
        <v>295438.19</v>
      </c>
      <c r="AD126" s="66">
        <v>96</v>
      </c>
      <c r="AE126" s="67">
        <v>16618.25</v>
      </c>
      <c r="AF126" s="67">
        <v>2396.9899999999998</v>
      </c>
      <c r="AG126" s="67">
        <v>14221.25</v>
      </c>
      <c r="AH126" s="68">
        <v>369297.74</v>
      </c>
      <c r="AI126" s="100">
        <f>AH126</f>
        <v>369297.74</v>
      </c>
    </row>
    <row r="127" spans="22:35" x14ac:dyDescent="0.25">
      <c r="V127" s="66">
        <v>97</v>
      </c>
      <c r="W127" s="67">
        <v>13294.6</v>
      </c>
      <c r="X127" s="67">
        <v>1846.49</v>
      </c>
      <c r="Y127" s="67">
        <v>11448.11</v>
      </c>
      <c r="Z127" s="68">
        <v>283990.08</v>
      </c>
      <c r="AD127" s="66">
        <v>97</v>
      </c>
      <c r="AE127" s="67">
        <v>16618.25</v>
      </c>
      <c r="AF127" s="67">
        <v>2308.11</v>
      </c>
      <c r="AG127" s="67">
        <v>14310.14</v>
      </c>
      <c r="AH127" s="68">
        <v>354987.6</v>
      </c>
    </row>
    <row r="128" spans="22:35" x14ac:dyDescent="0.25">
      <c r="V128" s="66">
        <v>98</v>
      </c>
      <c r="W128" s="67">
        <v>13294.6</v>
      </c>
      <c r="X128" s="67">
        <v>1774.94</v>
      </c>
      <c r="Y128" s="67">
        <v>11519.66</v>
      </c>
      <c r="Z128" s="68">
        <v>272470.42</v>
      </c>
      <c r="AD128" s="66">
        <v>98</v>
      </c>
      <c r="AE128" s="67">
        <v>16618.25</v>
      </c>
      <c r="AF128" s="67">
        <v>2218.67</v>
      </c>
      <c r="AG128" s="67">
        <v>14399.58</v>
      </c>
      <c r="AH128" s="68">
        <v>340588.02</v>
      </c>
    </row>
    <row r="129" spans="22:35" x14ac:dyDescent="0.25">
      <c r="V129" s="66">
        <v>99</v>
      </c>
      <c r="W129" s="67">
        <v>13294.6</v>
      </c>
      <c r="X129" s="67">
        <v>1702.94</v>
      </c>
      <c r="Y129" s="67">
        <v>11591.66</v>
      </c>
      <c r="Z129" s="68">
        <v>260878.76</v>
      </c>
      <c r="AD129" s="66">
        <v>99</v>
      </c>
      <c r="AE129" s="67">
        <v>16618.25</v>
      </c>
      <c r="AF129" s="67">
        <v>2128.6799999999998</v>
      </c>
      <c r="AG129" s="67">
        <v>14489.57</v>
      </c>
      <c r="AH129" s="68">
        <v>326098.45</v>
      </c>
    </row>
    <row r="130" spans="22:35" x14ac:dyDescent="0.25">
      <c r="V130" s="66">
        <v>100</v>
      </c>
      <c r="W130" s="67">
        <v>13294.6</v>
      </c>
      <c r="X130" s="67">
        <v>1630.49</v>
      </c>
      <c r="Y130" s="67">
        <v>11664.11</v>
      </c>
      <c r="Z130" s="68">
        <v>249214.66</v>
      </c>
      <c r="AD130" s="66">
        <v>100</v>
      </c>
      <c r="AE130" s="67">
        <v>16618.25</v>
      </c>
      <c r="AF130" s="67">
        <v>2038.12</v>
      </c>
      <c r="AG130" s="67">
        <v>14580.13</v>
      </c>
      <c r="AH130" s="68">
        <v>311518.32</v>
      </c>
    </row>
    <row r="131" spans="22:35" x14ac:dyDescent="0.25">
      <c r="V131" s="66">
        <v>101</v>
      </c>
      <c r="W131" s="67">
        <v>13294.6</v>
      </c>
      <c r="X131" s="67">
        <v>1557.59</v>
      </c>
      <c r="Y131" s="67">
        <v>11737.01</v>
      </c>
      <c r="Z131" s="68">
        <v>237477.65</v>
      </c>
      <c r="AD131" s="66">
        <v>101</v>
      </c>
      <c r="AE131" s="67">
        <v>16618.25</v>
      </c>
      <c r="AF131" s="67">
        <v>1946.99</v>
      </c>
      <c r="AG131" s="67">
        <v>14671.26</v>
      </c>
      <c r="AH131" s="68">
        <v>296847.06</v>
      </c>
    </row>
    <row r="132" spans="22:35" x14ac:dyDescent="0.25">
      <c r="V132" s="66">
        <v>102</v>
      </c>
      <c r="W132" s="67">
        <v>13294.6</v>
      </c>
      <c r="X132" s="67">
        <v>1484.24</v>
      </c>
      <c r="Y132" s="67">
        <v>11810.36</v>
      </c>
      <c r="Z132" s="68">
        <v>225667.29</v>
      </c>
      <c r="AD132" s="66">
        <v>102</v>
      </c>
      <c r="AE132" s="67">
        <v>16618.25</v>
      </c>
      <c r="AF132" s="67">
        <v>1855.29</v>
      </c>
      <c r="AG132" s="67">
        <v>14762.95</v>
      </c>
      <c r="AH132" s="68">
        <v>282084.11</v>
      </c>
    </row>
    <row r="133" spans="22:35" x14ac:dyDescent="0.25">
      <c r="V133" s="66">
        <v>103</v>
      </c>
      <c r="W133" s="67">
        <v>13294.6</v>
      </c>
      <c r="X133" s="67">
        <v>1410.42</v>
      </c>
      <c r="Y133" s="67">
        <v>11884.18</v>
      </c>
      <c r="Z133" s="68">
        <v>213783.11</v>
      </c>
      <c r="AD133" s="66">
        <v>103</v>
      </c>
      <c r="AE133" s="67">
        <v>16618.25</v>
      </c>
      <c r="AF133" s="67">
        <v>1763.03</v>
      </c>
      <c r="AG133" s="67">
        <v>14855.22</v>
      </c>
      <c r="AH133" s="68">
        <v>267228.89</v>
      </c>
    </row>
    <row r="134" spans="22:35" x14ac:dyDescent="0.25">
      <c r="V134" s="66">
        <v>104</v>
      </c>
      <c r="W134" s="67">
        <v>13294.6</v>
      </c>
      <c r="X134" s="67">
        <v>1336.14</v>
      </c>
      <c r="Y134" s="67">
        <v>11958.45</v>
      </c>
      <c r="Z134" s="68">
        <v>201824.65</v>
      </c>
      <c r="AD134" s="66">
        <v>104</v>
      </c>
      <c r="AE134" s="67">
        <v>16618.25</v>
      </c>
      <c r="AF134" s="67">
        <v>1670.18</v>
      </c>
      <c r="AG134" s="67">
        <v>14948.07</v>
      </c>
      <c r="AH134" s="68">
        <v>252280.82</v>
      </c>
    </row>
    <row r="135" spans="22:35" x14ac:dyDescent="0.25">
      <c r="V135" s="66">
        <v>105</v>
      </c>
      <c r="W135" s="67">
        <v>13294.6</v>
      </c>
      <c r="X135" s="67">
        <v>1261.4000000000001</v>
      </c>
      <c r="Y135" s="67">
        <v>12033.19</v>
      </c>
      <c r="Z135" s="68">
        <v>189791.46</v>
      </c>
      <c r="AD135" s="66">
        <v>105</v>
      </c>
      <c r="AE135" s="67">
        <v>16618.25</v>
      </c>
      <c r="AF135" s="67">
        <v>1576.76</v>
      </c>
      <c r="AG135" s="67">
        <v>15041.49</v>
      </c>
      <c r="AH135" s="68">
        <v>237239.33</v>
      </c>
    </row>
    <row r="136" spans="22:35" x14ac:dyDescent="0.25">
      <c r="V136" s="66">
        <v>106</v>
      </c>
      <c r="W136" s="67">
        <v>13294.6</v>
      </c>
      <c r="X136" s="67">
        <v>1186.2</v>
      </c>
      <c r="Y136" s="67">
        <v>12108.4</v>
      </c>
      <c r="Z136" s="68">
        <v>177683.06</v>
      </c>
      <c r="AD136" s="66">
        <v>106</v>
      </c>
      <c r="AE136" s="67">
        <v>16618.25</v>
      </c>
      <c r="AF136" s="67">
        <v>1482.75</v>
      </c>
      <c r="AG136" s="67">
        <v>15135.5</v>
      </c>
      <c r="AH136" s="68">
        <v>222103.82</v>
      </c>
    </row>
    <row r="137" spans="22:35" x14ac:dyDescent="0.25">
      <c r="V137" s="66">
        <v>107</v>
      </c>
      <c r="W137" s="67">
        <v>13294.6</v>
      </c>
      <c r="X137" s="67">
        <v>1110.52</v>
      </c>
      <c r="Y137" s="67">
        <v>12184.08</v>
      </c>
      <c r="Z137" s="68">
        <v>165498.98000000001</v>
      </c>
      <c r="AD137" s="66">
        <v>107</v>
      </c>
      <c r="AE137" s="67">
        <v>16618.25</v>
      </c>
      <c r="AF137" s="67">
        <v>1388.15</v>
      </c>
      <c r="AG137" s="67">
        <v>15230.1</v>
      </c>
      <c r="AH137" s="68">
        <v>206873.72</v>
      </c>
    </row>
    <row r="138" spans="22:35" x14ac:dyDescent="0.25">
      <c r="V138" s="66">
        <v>108</v>
      </c>
      <c r="W138" s="67">
        <v>13294.6</v>
      </c>
      <c r="X138" s="67">
        <v>1034.3699999999999</v>
      </c>
      <c r="Y138" s="67">
        <v>12260.23</v>
      </c>
      <c r="Z138" s="68">
        <v>153238.75</v>
      </c>
      <c r="AA138" s="100">
        <f>Z138</f>
        <v>153238.75</v>
      </c>
      <c r="AD138" s="66">
        <v>108</v>
      </c>
      <c r="AE138" s="67">
        <v>16618.25</v>
      </c>
      <c r="AF138" s="67">
        <v>1292.96</v>
      </c>
      <c r="AG138" s="67">
        <v>15325.29</v>
      </c>
      <c r="AH138" s="68">
        <v>191548.44</v>
      </c>
      <c r="AI138" s="100">
        <f>AH138</f>
        <v>191548.44</v>
      </c>
    </row>
    <row r="139" spans="22:35" x14ac:dyDescent="0.25">
      <c r="V139" s="66">
        <v>109</v>
      </c>
      <c r="W139" s="67">
        <v>13294.6</v>
      </c>
      <c r="X139" s="72">
        <v>957.74</v>
      </c>
      <c r="Y139" s="67">
        <v>12336.86</v>
      </c>
      <c r="Z139" s="68">
        <v>140901.89000000001</v>
      </c>
      <c r="AD139" s="66">
        <v>109</v>
      </c>
      <c r="AE139" s="67">
        <v>16618.25</v>
      </c>
      <c r="AF139" s="67">
        <v>1197.18</v>
      </c>
      <c r="AG139" s="67">
        <v>15421.07</v>
      </c>
      <c r="AH139" s="68">
        <v>176127.37</v>
      </c>
    </row>
    <row r="140" spans="22:35" x14ac:dyDescent="0.25">
      <c r="V140" s="66">
        <v>110</v>
      </c>
      <c r="W140" s="67">
        <v>13294.6</v>
      </c>
      <c r="X140" s="72">
        <v>880.64</v>
      </c>
      <c r="Y140" s="67">
        <v>12413.96</v>
      </c>
      <c r="Z140" s="68">
        <v>128487.93</v>
      </c>
      <c r="AD140" s="66">
        <v>110</v>
      </c>
      <c r="AE140" s="67">
        <v>16618.25</v>
      </c>
      <c r="AF140" s="67">
        <v>1100.8</v>
      </c>
      <c r="AG140" s="67">
        <v>15517.45</v>
      </c>
      <c r="AH140" s="68">
        <v>160609.92000000001</v>
      </c>
    </row>
    <row r="141" spans="22:35" x14ac:dyDescent="0.25">
      <c r="V141" s="66">
        <v>111</v>
      </c>
      <c r="W141" s="67">
        <v>13294.6</v>
      </c>
      <c r="X141" s="72">
        <v>803.05</v>
      </c>
      <c r="Y141" s="67">
        <v>12491.55</v>
      </c>
      <c r="Z141" s="68">
        <v>115996.38</v>
      </c>
      <c r="AD141" s="66">
        <v>111</v>
      </c>
      <c r="AE141" s="67">
        <v>16618.25</v>
      </c>
      <c r="AF141" s="67">
        <v>1003.81</v>
      </c>
      <c r="AG141" s="67">
        <v>15614.44</v>
      </c>
      <c r="AH141" s="68">
        <v>144995.48000000001</v>
      </c>
    </row>
    <row r="142" spans="22:35" x14ac:dyDescent="0.25">
      <c r="V142" s="66">
        <v>112</v>
      </c>
      <c r="W142" s="67">
        <v>13294.6</v>
      </c>
      <c r="X142" s="72">
        <v>724.98</v>
      </c>
      <c r="Y142" s="67">
        <v>12569.62</v>
      </c>
      <c r="Z142" s="68">
        <v>103426.76</v>
      </c>
      <c r="AD142" s="66">
        <v>112</v>
      </c>
      <c r="AE142" s="67">
        <v>16618.25</v>
      </c>
      <c r="AF142" s="72">
        <v>906.22</v>
      </c>
      <c r="AG142" s="67">
        <v>15712.03</v>
      </c>
      <c r="AH142" s="68">
        <v>129283.45</v>
      </c>
    </row>
    <row r="143" spans="22:35" x14ac:dyDescent="0.25">
      <c r="V143" s="66">
        <v>113</v>
      </c>
      <c r="W143" s="67">
        <v>13294.6</v>
      </c>
      <c r="X143" s="72">
        <v>646.41999999999996</v>
      </c>
      <c r="Y143" s="67">
        <v>12648.18</v>
      </c>
      <c r="Z143" s="68">
        <v>90778.58</v>
      </c>
      <c r="AD143" s="66">
        <v>113</v>
      </c>
      <c r="AE143" s="67">
        <v>16618.25</v>
      </c>
      <c r="AF143" s="72">
        <v>808.02</v>
      </c>
      <c r="AG143" s="67">
        <v>15810.23</v>
      </c>
      <c r="AH143" s="68">
        <v>113473.23</v>
      </c>
    </row>
    <row r="144" spans="22:35" x14ac:dyDescent="0.25">
      <c r="V144" s="66">
        <v>114</v>
      </c>
      <c r="W144" s="67">
        <v>13294.6</v>
      </c>
      <c r="X144" s="72">
        <v>567.37</v>
      </c>
      <c r="Y144" s="67">
        <v>12727.23</v>
      </c>
      <c r="Z144" s="68">
        <v>78051.350000000006</v>
      </c>
      <c r="AD144" s="66">
        <v>114</v>
      </c>
      <c r="AE144" s="67">
        <v>16618.25</v>
      </c>
      <c r="AF144" s="72">
        <v>709.21</v>
      </c>
      <c r="AG144" s="67">
        <v>15909.04</v>
      </c>
      <c r="AH144" s="68">
        <v>97564.19</v>
      </c>
    </row>
    <row r="145" spans="22:35" x14ac:dyDescent="0.25">
      <c r="V145" s="66">
        <v>115</v>
      </c>
      <c r="W145" s="67">
        <v>13294.6</v>
      </c>
      <c r="X145" s="72">
        <v>487.82</v>
      </c>
      <c r="Y145" s="67">
        <v>12806.78</v>
      </c>
      <c r="Z145" s="68">
        <v>65244.57</v>
      </c>
      <c r="AD145" s="66">
        <v>115</v>
      </c>
      <c r="AE145" s="67">
        <v>16618.25</v>
      </c>
      <c r="AF145" s="72">
        <v>609.78</v>
      </c>
      <c r="AG145" s="67">
        <v>16008.47</v>
      </c>
      <c r="AH145" s="68">
        <v>81555.72</v>
      </c>
    </row>
    <row r="146" spans="22:35" x14ac:dyDescent="0.25">
      <c r="V146" s="66">
        <v>116</v>
      </c>
      <c r="W146" s="67">
        <v>13294.6</v>
      </c>
      <c r="X146" s="72">
        <v>407.78</v>
      </c>
      <c r="Y146" s="67">
        <v>12886.82</v>
      </c>
      <c r="Z146" s="68">
        <v>52357.75</v>
      </c>
      <c r="AD146" s="66">
        <v>116</v>
      </c>
      <c r="AE146" s="67">
        <v>16618.25</v>
      </c>
      <c r="AF146" s="72">
        <v>509.72</v>
      </c>
      <c r="AG146" s="67">
        <v>16108.52</v>
      </c>
      <c r="AH146" s="68">
        <v>65447.19</v>
      </c>
    </row>
    <row r="147" spans="22:35" x14ac:dyDescent="0.25">
      <c r="V147" s="66">
        <v>117</v>
      </c>
      <c r="W147" s="67">
        <v>13294.6</v>
      </c>
      <c r="X147" s="72">
        <v>327.24</v>
      </c>
      <c r="Y147" s="67">
        <v>12967.36</v>
      </c>
      <c r="Z147" s="68">
        <v>39390.39</v>
      </c>
      <c r="AD147" s="66">
        <v>117</v>
      </c>
      <c r="AE147" s="67">
        <v>16618.25</v>
      </c>
      <c r="AF147" s="72">
        <v>409.04</v>
      </c>
      <c r="AG147" s="67">
        <v>16209.2</v>
      </c>
      <c r="AH147" s="68">
        <v>49237.99</v>
      </c>
    </row>
    <row r="148" spans="22:35" x14ac:dyDescent="0.25">
      <c r="V148" s="66">
        <v>118</v>
      </c>
      <c r="W148" s="67">
        <v>13294.6</v>
      </c>
      <c r="X148" s="72">
        <v>246.19</v>
      </c>
      <c r="Y148" s="67">
        <v>13048.41</v>
      </c>
      <c r="Z148" s="68">
        <v>26341.98</v>
      </c>
      <c r="AD148" s="66">
        <v>118</v>
      </c>
      <c r="AE148" s="67">
        <v>16618.25</v>
      </c>
      <c r="AF148" s="72">
        <v>307.74</v>
      </c>
      <c r="AG148" s="67">
        <v>16310.51</v>
      </c>
      <c r="AH148" s="68">
        <v>32927.480000000003</v>
      </c>
    </row>
    <row r="149" spans="22:35" x14ac:dyDescent="0.25">
      <c r="V149" s="66">
        <v>119</v>
      </c>
      <c r="W149" s="67">
        <v>13294.6</v>
      </c>
      <c r="X149" s="72">
        <v>164.64</v>
      </c>
      <c r="Y149" s="67">
        <v>13129.96</v>
      </c>
      <c r="Z149" s="68">
        <v>13212.02</v>
      </c>
      <c r="AD149" s="66">
        <v>119</v>
      </c>
      <c r="AE149" s="67">
        <v>16618.25</v>
      </c>
      <c r="AF149" s="72">
        <v>205.8</v>
      </c>
      <c r="AG149" s="67">
        <v>16412.45</v>
      </c>
      <c r="AH149" s="68">
        <v>16515.03</v>
      </c>
    </row>
    <row r="150" spans="22:35" ht="15.75" thickBot="1" x14ac:dyDescent="0.3">
      <c r="V150" s="69">
        <v>120</v>
      </c>
      <c r="W150" s="70">
        <v>13294.6</v>
      </c>
      <c r="X150" s="75">
        <v>82.58</v>
      </c>
      <c r="Y150" s="70">
        <v>13212.02</v>
      </c>
      <c r="Z150" s="71">
        <v>0</v>
      </c>
      <c r="AA150" s="100">
        <f>Z150</f>
        <v>0</v>
      </c>
      <c r="AD150" s="69">
        <v>120</v>
      </c>
      <c r="AE150" s="70">
        <v>16618.25</v>
      </c>
      <c r="AF150" s="75">
        <v>103.22</v>
      </c>
      <c r="AG150" s="70">
        <v>16515.03</v>
      </c>
      <c r="AH150" s="71">
        <v>0</v>
      </c>
      <c r="AI150" s="100">
        <f>AH150</f>
        <v>0</v>
      </c>
    </row>
    <row r="151" spans="22:35" x14ac:dyDescent="0.25">
      <c r="V151" s="66"/>
      <c r="W151" s="67"/>
      <c r="X151" s="67"/>
      <c r="Y151" s="67"/>
      <c r="Z151" s="68"/>
      <c r="AD151" s="66">
        <v>121</v>
      </c>
      <c r="AE151" s="67"/>
      <c r="AF151" s="67"/>
      <c r="AG151" s="67"/>
      <c r="AH151" s="68"/>
    </row>
    <row r="152" spans="22:35" x14ac:dyDescent="0.25">
      <c r="V152" s="66"/>
      <c r="W152" s="67"/>
      <c r="X152" s="67"/>
      <c r="Y152" s="67"/>
      <c r="Z152" s="68"/>
      <c r="AD152" s="66">
        <v>122</v>
      </c>
      <c r="AE152" s="67"/>
      <c r="AF152" s="67"/>
      <c r="AG152" s="67"/>
      <c r="AH152" s="68"/>
    </row>
    <row r="153" spans="22:35" x14ac:dyDescent="0.25">
      <c r="V153" s="66"/>
      <c r="W153" s="67"/>
      <c r="X153" s="67"/>
      <c r="Y153" s="67"/>
      <c r="Z153" s="68"/>
      <c r="AD153" s="66">
        <v>123</v>
      </c>
      <c r="AE153" s="67"/>
      <c r="AF153" s="67"/>
      <c r="AG153" s="67"/>
      <c r="AH153" s="68"/>
    </row>
    <row r="154" spans="22:35" x14ac:dyDescent="0.25">
      <c r="V154" s="66"/>
      <c r="W154" s="67"/>
      <c r="X154" s="67"/>
      <c r="Y154" s="67"/>
      <c r="Z154" s="68"/>
      <c r="AD154" s="66">
        <v>124</v>
      </c>
      <c r="AE154" s="67"/>
      <c r="AF154" s="67"/>
      <c r="AG154" s="67"/>
      <c r="AH154" s="68"/>
    </row>
    <row r="155" spans="22:35" x14ac:dyDescent="0.25">
      <c r="V155" s="66"/>
      <c r="W155" s="67"/>
      <c r="X155" s="67"/>
      <c r="Y155" s="67"/>
      <c r="Z155" s="68"/>
      <c r="AD155" s="66">
        <v>125</v>
      </c>
      <c r="AE155" s="67"/>
      <c r="AF155" s="67"/>
      <c r="AG155" s="67"/>
      <c r="AH155" s="68"/>
    </row>
    <row r="156" spans="22:35" x14ac:dyDescent="0.25">
      <c r="V156" s="66"/>
      <c r="W156" s="67"/>
      <c r="X156" s="67"/>
      <c r="Y156" s="67"/>
      <c r="Z156" s="68"/>
      <c r="AD156" s="66">
        <v>126</v>
      </c>
      <c r="AE156" s="67"/>
      <c r="AF156" s="67"/>
      <c r="AG156" s="67"/>
      <c r="AH156" s="68"/>
    </row>
    <row r="157" spans="22:35" x14ac:dyDescent="0.25">
      <c r="V157" s="66"/>
      <c r="W157" s="67"/>
      <c r="X157" s="67"/>
      <c r="Y157" s="67"/>
      <c r="Z157" s="68"/>
      <c r="AD157" s="66">
        <v>127</v>
      </c>
      <c r="AE157" s="67"/>
      <c r="AF157" s="67"/>
      <c r="AG157" s="67"/>
      <c r="AH157" s="68"/>
    </row>
    <row r="158" spans="22:35" x14ac:dyDescent="0.25">
      <c r="V158" s="66"/>
      <c r="W158" s="67"/>
      <c r="X158" s="67"/>
      <c r="Y158" s="67"/>
      <c r="Z158" s="68"/>
      <c r="AD158" s="66">
        <v>128</v>
      </c>
      <c r="AE158" s="67"/>
      <c r="AF158" s="67"/>
      <c r="AG158" s="67"/>
      <c r="AH158" s="68"/>
    </row>
    <row r="159" spans="22:35" x14ac:dyDescent="0.25">
      <c r="V159" s="66"/>
      <c r="W159" s="67"/>
      <c r="X159" s="67"/>
      <c r="Y159" s="67"/>
      <c r="Z159" s="68"/>
      <c r="AD159" s="66">
        <v>129</v>
      </c>
      <c r="AE159" s="67"/>
      <c r="AF159" s="67"/>
      <c r="AG159" s="67"/>
      <c r="AH159" s="68"/>
    </row>
    <row r="160" spans="22:35" x14ac:dyDescent="0.25">
      <c r="V160" s="66"/>
      <c r="W160" s="67"/>
      <c r="X160" s="67"/>
      <c r="Y160" s="67"/>
      <c r="Z160" s="68"/>
      <c r="AD160" s="66">
        <v>130</v>
      </c>
      <c r="AE160" s="67"/>
      <c r="AF160" s="67"/>
      <c r="AG160" s="67"/>
      <c r="AH160" s="68"/>
    </row>
    <row r="161" spans="22:35" x14ac:dyDescent="0.25">
      <c r="V161" s="66"/>
      <c r="W161" s="67"/>
      <c r="X161" s="67"/>
      <c r="Y161" s="67"/>
      <c r="Z161" s="68"/>
      <c r="AD161" s="66">
        <v>131</v>
      </c>
      <c r="AE161" s="67"/>
      <c r="AF161" s="67"/>
      <c r="AG161" s="67"/>
      <c r="AH161" s="68"/>
    </row>
    <row r="162" spans="22:35" x14ac:dyDescent="0.25">
      <c r="V162" s="66"/>
      <c r="W162" s="67"/>
      <c r="X162" s="67"/>
      <c r="Y162" s="67"/>
      <c r="Z162" s="68"/>
      <c r="AA162" s="100">
        <f>Z162</f>
        <v>0</v>
      </c>
      <c r="AD162" s="66">
        <v>132</v>
      </c>
      <c r="AE162" s="67"/>
      <c r="AF162" s="67"/>
      <c r="AG162" s="67"/>
      <c r="AH162" s="68"/>
      <c r="AI162" s="100">
        <f>AH162</f>
        <v>0</v>
      </c>
    </row>
    <row r="163" spans="22:35" x14ac:dyDescent="0.25">
      <c r="V163" s="66"/>
      <c r="W163" s="67"/>
      <c r="X163" s="67"/>
      <c r="Y163" s="67"/>
      <c r="Z163" s="68"/>
      <c r="AD163" s="66">
        <v>133</v>
      </c>
      <c r="AE163" s="67"/>
      <c r="AF163" s="67"/>
      <c r="AG163" s="67"/>
      <c r="AH163" s="68"/>
    </row>
    <row r="164" spans="22:35" x14ac:dyDescent="0.25">
      <c r="V164" s="66"/>
      <c r="W164" s="67"/>
      <c r="X164" s="67"/>
      <c r="Y164" s="67"/>
      <c r="Z164" s="68"/>
      <c r="AD164" s="66">
        <v>134</v>
      </c>
      <c r="AE164" s="67"/>
      <c r="AF164" s="67"/>
      <c r="AG164" s="67"/>
      <c r="AH164" s="68"/>
    </row>
    <row r="165" spans="22:35" x14ac:dyDescent="0.25">
      <c r="V165" s="66"/>
      <c r="W165" s="67"/>
      <c r="X165" s="67"/>
      <c r="Y165" s="67"/>
      <c r="Z165" s="68"/>
      <c r="AD165" s="66">
        <v>135</v>
      </c>
      <c r="AE165" s="67"/>
      <c r="AF165" s="67"/>
      <c r="AG165" s="67"/>
      <c r="AH165" s="68"/>
    </row>
    <row r="166" spans="22:35" x14ac:dyDescent="0.25">
      <c r="V166" s="66"/>
      <c r="W166" s="67"/>
      <c r="X166" s="67"/>
      <c r="Y166" s="67"/>
      <c r="Z166" s="68"/>
      <c r="AD166" s="66">
        <v>136</v>
      </c>
      <c r="AE166" s="67"/>
      <c r="AF166" s="67"/>
      <c r="AG166" s="67"/>
      <c r="AH166" s="68"/>
    </row>
    <row r="167" spans="22:35" x14ac:dyDescent="0.25">
      <c r="V167" s="66"/>
      <c r="W167" s="67"/>
      <c r="X167" s="67"/>
      <c r="Y167" s="67"/>
      <c r="Z167" s="68"/>
      <c r="AD167" s="66">
        <v>137</v>
      </c>
      <c r="AE167" s="67"/>
      <c r="AF167" s="67"/>
      <c r="AG167" s="67"/>
      <c r="AH167" s="68"/>
    </row>
    <row r="168" spans="22:35" x14ac:dyDescent="0.25">
      <c r="V168" s="66"/>
      <c r="W168" s="67"/>
      <c r="X168" s="67"/>
      <c r="Y168" s="67"/>
      <c r="Z168" s="68"/>
      <c r="AD168" s="66">
        <v>138</v>
      </c>
      <c r="AE168" s="67"/>
      <c r="AF168" s="67"/>
      <c r="AG168" s="67"/>
      <c r="AH168" s="68"/>
    </row>
    <row r="169" spans="22:35" x14ac:dyDescent="0.25">
      <c r="V169" s="66"/>
      <c r="W169" s="67"/>
      <c r="X169" s="67"/>
      <c r="Y169" s="67"/>
      <c r="Z169" s="68"/>
      <c r="AD169" s="66">
        <v>139</v>
      </c>
      <c r="AE169" s="67"/>
      <c r="AF169" s="67"/>
      <c r="AG169" s="67"/>
      <c r="AH169" s="68"/>
    </row>
    <row r="170" spans="22:35" x14ac:dyDescent="0.25">
      <c r="V170" s="66"/>
      <c r="W170" s="67"/>
      <c r="X170" s="67"/>
      <c r="Y170" s="67"/>
      <c r="Z170" s="68"/>
      <c r="AD170" s="66">
        <v>140</v>
      </c>
      <c r="AE170" s="67"/>
      <c r="AF170" s="67"/>
      <c r="AG170" s="67"/>
      <c r="AH170" s="68"/>
    </row>
    <row r="171" spans="22:35" x14ac:dyDescent="0.25">
      <c r="V171" s="66"/>
      <c r="W171" s="67"/>
      <c r="X171" s="67"/>
      <c r="Y171" s="67"/>
      <c r="Z171" s="68"/>
      <c r="AD171" s="66">
        <v>141</v>
      </c>
      <c r="AE171" s="67"/>
      <c r="AF171" s="67"/>
      <c r="AG171" s="67"/>
      <c r="AH171" s="68"/>
    </row>
    <row r="172" spans="22:35" x14ac:dyDescent="0.25">
      <c r="V172" s="66"/>
      <c r="W172" s="67"/>
      <c r="X172" s="67"/>
      <c r="Y172" s="67"/>
      <c r="Z172" s="68"/>
      <c r="AD172" s="66">
        <v>142</v>
      </c>
      <c r="AE172" s="67"/>
      <c r="AF172" s="67"/>
      <c r="AG172" s="67"/>
      <c r="AH172" s="68"/>
    </row>
    <row r="173" spans="22:35" x14ac:dyDescent="0.25">
      <c r="V173" s="66"/>
      <c r="W173" s="67"/>
      <c r="X173" s="67"/>
      <c r="Y173" s="67"/>
      <c r="Z173" s="68"/>
      <c r="AD173" s="66">
        <v>143</v>
      </c>
      <c r="AE173" s="67"/>
      <c r="AF173" s="67"/>
      <c r="AG173" s="67"/>
      <c r="AH173" s="68"/>
    </row>
    <row r="174" spans="22:35" x14ac:dyDescent="0.25">
      <c r="V174" s="66"/>
      <c r="W174" s="67"/>
      <c r="X174" s="67"/>
      <c r="Y174" s="67"/>
      <c r="Z174" s="68"/>
      <c r="AA174" s="100">
        <f>Z174</f>
        <v>0</v>
      </c>
      <c r="AD174" s="66">
        <v>144</v>
      </c>
      <c r="AE174" s="67"/>
      <c r="AF174" s="67"/>
      <c r="AG174" s="67"/>
      <c r="AH174" s="68"/>
      <c r="AI174" s="100">
        <f>AH174</f>
        <v>0</v>
      </c>
    </row>
    <row r="175" spans="22:35" x14ac:dyDescent="0.25">
      <c r="V175" s="66"/>
      <c r="W175" s="67"/>
      <c r="X175" s="67"/>
      <c r="Y175" s="67"/>
      <c r="Z175" s="68"/>
      <c r="AD175" s="66">
        <v>145</v>
      </c>
      <c r="AE175" s="67"/>
      <c r="AF175" s="67"/>
      <c r="AG175" s="67"/>
      <c r="AH175" s="68"/>
    </row>
    <row r="176" spans="22:35" x14ac:dyDescent="0.25">
      <c r="V176" s="66"/>
      <c r="W176" s="67"/>
      <c r="X176" s="67"/>
      <c r="Y176" s="67"/>
      <c r="Z176" s="68"/>
      <c r="AD176" s="66">
        <v>146</v>
      </c>
      <c r="AE176" s="67"/>
      <c r="AF176" s="67"/>
      <c r="AG176" s="67"/>
      <c r="AH176" s="68"/>
    </row>
    <row r="177" spans="22:35" x14ac:dyDescent="0.25">
      <c r="V177" s="66"/>
      <c r="W177" s="67"/>
      <c r="X177" s="67"/>
      <c r="Y177" s="67"/>
      <c r="Z177" s="68"/>
      <c r="AD177" s="66">
        <v>147</v>
      </c>
      <c r="AE177" s="67"/>
      <c r="AF177" s="67"/>
      <c r="AG177" s="67"/>
      <c r="AH177" s="68"/>
    </row>
    <row r="178" spans="22:35" x14ac:dyDescent="0.25">
      <c r="V178" s="66"/>
      <c r="W178" s="67"/>
      <c r="X178" s="67"/>
      <c r="Y178" s="67"/>
      <c r="Z178" s="68"/>
      <c r="AD178" s="66">
        <v>148</v>
      </c>
      <c r="AE178" s="67"/>
      <c r="AF178" s="67"/>
      <c r="AG178" s="67"/>
      <c r="AH178" s="68"/>
    </row>
    <row r="179" spans="22:35" x14ac:dyDescent="0.25">
      <c r="V179" s="66"/>
      <c r="W179" s="67"/>
      <c r="X179" s="67"/>
      <c r="Y179" s="67"/>
      <c r="Z179" s="68"/>
      <c r="AD179" s="66">
        <v>149</v>
      </c>
      <c r="AE179" s="67"/>
      <c r="AF179" s="67"/>
      <c r="AG179" s="67"/>
      <c r="AH179" s="68"/>
    </row>
    <row r="180" spans="22:35" x14ac:dyDescent="0.25">
      <c r="V180" s="66"/>
      <c r="W180" s="67"/>
      <c r="X180" s="67"/>
      <c r="Y180" s="67"/>
      <c r="Z180" s="68"/>
      <c r="AD180" s="66">
        <v>150</v>
      </c>
      <c r="AE180" s="67"/>
      <c r="AF180" s="67"/>
      <c r="AG180" s="67"/>
      <c r="AH180" s="68"/>
    </row>
    <row r="181" spans="22:35" x14ac:dyDescent="0.25">
      <c r="V181" s="66"/>
      <c r="W181" s="67"/>
      <c r="X181" s="67"/>
      <c r="Y181" s="67"/>
      <c r="Z181" s="68"/>
      <c r="AD181" s="66">
        <v>151</v>
      </c>
      <c r="AE181" s="67"/>
      <c r="AF181" s="67"/>
      <c r="AG181" s="67"/>
      <c r="AH181" s="68"/>
    </row>
    <row r="182" spans="22:35" x14ac:dyDescent="0.25">
      <c r="V182" s="66"/>
      <c r="W182" s="67"/>
      <c r="X182" s="67"/>
      <c r="Y182" s="67"/>
      <c r="Z182" s="68"/>
      <c r="AD182" s="66">
        <v>152</v>
      </c>
      <c r="AE182" s="67"/>
      <c r="AF182" s="67"/>
      <c r="AG182" s="67"/>
      <c r="AH182" s="68"/>
    </row>
    <row r="183" spans="22:35" x14ac:dyDescent="0.25">
      <c r="V183" s="66"/>
      <c r="W183" s="67"/>
      <c r="X183" s="67"/>
      <c r="Y183" s="67"/>
      <c r="Z183" s="68"/>
      <c r="AD183" s="66">
        <v>153</v>
      </c>
      <c r="AE183" s="67"/>
      <c r="AF183" s="67"/>
      <c r="AG183" s="67"/>
      <c r="AH183" s="68"/>
    </row>
    <row r="184" spans="22:35" x14ac:dyDescent="0.25">
      <c r="V184" s="66"/>
      <c r="W184" s="67"/>
      <c r="X184" s="67"/>
      <c r="Y184" s="67"/>
      <c r="Z184" s="68"/>
      <c r="AD184" s="66">
        <v>154</v>
      </c>
      <c r="AE184" s="67"/>
      <c r="AF184" s="67"/>
      <c r="AG184" s="67"/>
      <c r="AH184" s="68"/>
    </row>
    <row r="185" spans="22:35" x14ac:dyDescent="0.25">
      <c r="V185" s="66"/>
      <c r="W185" s="67"/>
      <c r="X185" s="67"/>
      <c r="Y185" s="67"/>
      <c r="Z185" s="68"/>
      <c r="AD185" s="66">
        <v>155</v>
      </c>
      <c r="AE185" s="67"/>
      <c r="AF185" s="67"/>
      <c r="AG185" s="67"/>
      <c r="AH185" s="68"/>
    </row>
    <row r="186" spans="22:35" x14ac:dyDescent="0.25">
      <c r="V186" s="66"/>
      <c r="W186" s="67"/>
      <c r="X186" s="67"/>
      <c r="Y186" s="67"/>
      <c r="Z186" s="68"/>
      <c r="AA186" s="100">
        <f>Z186</f>
        <v>0</v>
      </c>
      <c r="AD186" s="66">
        <v>156</v>
      </c>
      <c r="AE186" s="67"/>
      <c r="AF186" s="67"/>
      <c r="AG186" s="67"/>
      <c r="AH186" s="68"/>
      <c r="AI186" s="100">
        <f>AH186</f>
        <v>0</v>
      </c>
    </row>
    <row r="187" spans="22:35" x14ac:dyDescent="0.25">
      <c r="V187" s="66"/>
      <c r="W187" s="67"/>
      <c r="X187" s="67"/>
      <c r="Y187" s="67"/>
      <c r="Z187" s="68"/>
      <c r="AD187" s="66">
        <v>157</v>
      </c>
      <c r="AE187" s="67"/>
      <c r="AF187" s="67"/>
      <c r="AG187" s="67"/>
      <c r="AH187" s="68"/>
    </row>
    <row r="188" spans="22:35" x14ac:dyDescent="0.25">
      <c r="V188" s="66"/>
      <c r="W188" s="67"/>
      <c r="X188" s="67"/>
      <c r="Y188" s="67"/>
      <c r="Z188" s="68"/>
      <c r="AD188" s="66">
        <v>158</v>
      </c>
      <c r="AE188" s="67"/>
      <c r="AF188" s="67"/>
      <c r="AG188" s="67"/>
      <c r="AH188" s="68"/>
    </row>
    <row r="189" spans="22:35" x14ac:dyDescent="0.25">
      <c r="V189" s="66"/>
      <c r="W189" s="67"/>
      <c r="X189" s="67"/>
      <c r="Y189" s="67"/>
      <c r="Z189" s="68"/>
      <c r="AD189" s="66">
        <v>159</v>
      </c>
      <c r="AE189" s="67"/>
      <c r="AF189" s="67"/>
      <c r="AG189" s="67"/>
      <c r="AH189" s="68"/>
    </row>
    <row r="190" spans="22:35" x14ac:dyDescent="0.25">
      <c r="V190" s="66"/>
      <c r="W190" s="67"/>
      <c r="X190" s="67"/>
      <c r="Y190" s="67"/>
      <c r="Z190" s="68"/>
      <c r="AD190" s="66">
        <v>160</v>
      </c>
      <c r="AE190" s="67"/>
      <c r="AF190" s="67"/>
      <c r="AG190" s="67"/>
      <c r="AH190" s="68"/>
    </row>
    <row r="191" spans="22:35" x14ac:dyDescent="0.25">
      <c r="V191" s="66"/>
      <c r="W191" s="67"/>
      <c r="X191" s="67"/>
      <c r="Y191" s="67"/>
      <c r="Z191" s="68"/>
      <c r="AD191" s="66">
        <v>161</v>
      </c>
      <c r="AE191" s="67"/>
      <c r="AF191" s="67"/>
      <c r="AG191" s="67"/>
      <c r="AH191" s="68"/>
    </row>
    <row r="192" spans="22:35" x14ac:dyDescent="0.25">
      <c r="V192" s="66"/>
      <c r="W192" s="67"/>
      <c r="X192" s="67"/>
      <c r="Y192" s="67"/>
      <c r="Z192" s="68"/>
      <c r="AD192" s="66">
        <v>162</v>
      </c>
      <c r="AE192" s="67"/>
      <c r="AF192" s="67"/>
      <c r="AG192" s="67"/>
      <c r="AH192" s="68"/>
    </row>
    <row r="193" spans="22:35" x14ac:dyDescent="0.25">
      <c r="V193" s="66"/>
      <c r="W193" s="67"/>
      <c r="X193" s="67"/>
      <c r="Y193" s="67"/>
      <c r="Z193" s="68"/>
      <c r="AD193" s="66">
        <v>163</v>
      </c>
      <c r="AE193" s="67"/>
      <c r="AF193" s="67"/>
      <c r="AG193" s="67"/>
      <c r="AH193" s="68"/>
    </row>
    <row r="194" spans="22:35" x14ac:dyDescent="0.25">
      <c r="V194" s="66"/>
      <c r="W194" s="67"/>
      <c r="X194" s="67"/>
      <c r="Y194" s="67"/>
      <c r="Z194" s="68"/>
      <c r="AD194" s="66">
        <v>164</v>
      </c>
      <c r="AE194" s="67"/>
      <c r="AF194" s="67"/>
      <c r="AG194" s="67"/>
      <c r="AH194" s="68"/>
    </row>
    <row r="195" spans="22:35" x14ac:dyDescent="0.25">
      <c r="V195" s="66"/>
      <c r="W195" s="67"/>
      <c r="X195" s="67"/>
      <c r="Y195" s="67"/>
      <c r="Z195" s="68"/>
      <c r="AD195" s="66">
        <v>165</v>
      </c>
      <c r="AE195" s="67"/>
      <c r="AF195" s="67"/>
      <c r="AG195" s="67"/>
      <c r="AH195" s="68"/>
    </row>
    <row r="196" spans="22:35" x14ac:dyDescent="0.25">
      <c r="V196" s="66"/>
      <c r="W196" s="67"/>
      <c r="X196" s="67"/>
      <c r="Y196" s="67"/>
      <c r="Z196" s="68"/>
      <c r="AD196" s="66">
        <v>166</v>
      </c>
      <c r="AE196" s="67"/>
      <c r="AF196" s="67"/>
      <c r="AG196" s="67"/>
      <c r="AH196" s="68"/>
    </row>
    <row r="197" spans="22:35" x14ac:dyDescent="0.25">
      <c r="V197" s="66"/>
      <c r="W197" s="67"/>
      <c r="X197" s="67"/>
      <c r="Y197" s="67"/>
      <c r="Z197" s="68"/>
      <c r="AD197" s="66">
        <v>167</v>
      </c>
      <c r="AE197" s="67"/>
      <c r="AF197" s="67"/>
      <c r="AG197" s="67"/>
      <c r="AH197" s="68"/>
    </row>
    <row r="198" spans="22:35" x14ac:dyDescent="0.25">
      <c r="V198" s="66"/>
      <c r="W198" s="67"/>
      <c r="X198" s="67"/>
      <c r="Y198" s="67"/>
      <c r="Z198" s="68"/>
      <c r="AA198" s="100">
        <f>Z198</f>
        <v>0</v>
      </c>
      <c r="AD198" s="66">
        <v>168</v>
      </c>
      <c r="AE198" s="67"/>
      <c r="AF198" s="67"/>
      <c r="AG198" s="67"/>
      <c r="AH198" s="68"/>
      <c r="AI198" s="100">
        <f>AH198</f>
        <v>0</v>
      </c>
    </row>
    <row r="199" spans="22:35" x14ac:dyDescent="0.25">
      <c r="V199" s="66"/>
      <c r="W199" s="67"/>
      <c r="X199" s="67"/>
      <c r="Y199" s="67"/>
      <c r="Z199" s="68"/>
      <c r="AD199" s="66">
        <v>169</v>
      </c>
      <c r="AE199" s="67"/>
      <c r="AF199" s="67"/>
      <c r="AG199" s="67"/>
      <c r="AH199" s="68"/>
    </row>
    <row r="200" spans="22:35" x14ac:dyDescent="0.25">
      <c r="V200" s="66"/>
      <c r="W200" s="67"/>
      <c r="X200" s="67"/>
      <c r="Y200" s="67"/>
      <c r="Z200" s="68"/>
      <c r="AD200" s="66">
        <v>170</v>
      </c>
      <c r="AE200" s="67"/>
      <c r="AF200" s="67"/>
      <c r="AG200" s="67"/>
      <c r="AH200" s="68"/>
    </row>
    <row r="201" spans="22:35" x14ac:dyDescent="0.25">
      <c r="V201" s="66"/>
      <c r="W201" s="67"/>
      <c r="X201" s="67"/>
      <c r="Y201" s="67"/>
      <c r="Z201" s="68"/>
      <c r="AD201" s="66">
        <v>171</v>
      </c>
      <c r="AE201" s="67"/>
      <c r="AF201" s="67"/>
      <c r="AG201" s="67"/>
      <c r="AH201" s="68"/>
    </row>
    <row r="202" spans="22:35" x14ac:dyDescent="0.25">
      <c r="V202" s="66"/>
      <c r="W202" s="67"/>
      <c r="X202" s="67"/>
      <c r="Y202" s="67"/>
      <c r="Z202" s="68"/>
      <c r="AD202" s="66">
        <v>172</v>
      </c>
      <c r="AE202" s="67"/>
      <c r="AF202" s="67"/>
      <c r="AG202" s="67"/>
      <c r="AH202" s="68"/>
    </row>
    <row r="203" spans="22:35" x14ac:dyDescent="0.25">
      <c r="V203" s="66"/>
      <c r="W203" s="67"/>
      <c r="X203" s="67"/>
      <c r="Y203" s="67"/>
      <c r="Z203" s="68"/>
      <c r="AD203" s="66">
        <v>173</v>
      </c>
      <c r="AE203" s="67"/>
      <c r="AF203" s="67"/>
      <c r="AG203" s="67"/>
      <c r="AH203" s="68"/>
    </row>
    <row r="204" spans="22:35" x14ac:dyDescent="0.25">
      <c r="V204" s="66"/>
      <c r="W204" s="67"/>
      <c r="X204" s="67"/>
      <c r="Y204" s="67"/>
      <c r="Z204" s="68"/>
      <c r="AD204" s="66">
        <v>174</v>
      </c>
      <c r="AE204" s="67"/>
      <c r="AF204" s="67"/>
      <c r="AG204" s="67"/>
      <c r="AH204" s="68"/>
    </row>
    <row r="205" spans="22:35" x14ac:dyDescent="0.25">
      <c r="V205" s="66"/>
      <c r="W205" s="67"/>
      <c r="X205" s="67"/>
      <c r="Y205" s="67"/>
      <c r="Z205" s="68"/>
      <c r="AD205" s="66">
        <v>175</v>
      </c>
      <c r="AE205" s="67"/>
      <c r="AF205" s="67"/>
      <c r="AG205" s="67"/>
      <c r="AH205" s="68"/>
    </row>
    <row r="206" spans="22:35" x14ac:dyDescent="0.25">
      <c r="V206" s="66"/>
      <c r="W206" s="67"/>
      <c r="X206" s="67"/>
      <c r="Y206" s="67"/>
      <c r="Z206" s="68"/>
      <c r="AD206" s="66">
        <v>176</v>
      </c>
      <c r="AE206" s="67"/>
      <c r="AF206" s="67"/>
      <c r="AG206" s="67"/>
      <c r="AH206" s="68"/>
    </row>
    <row r="207" spans="22:35" x14ac:dyDescent="0.25">
      <c r="V207" s="66"/>
      <c r="W207" s="67"/>
      <c r="X207" s="67"/>
      <c r="Y207" s="67"/>
      <c r="Z207" s="68"/>
      <c r="AD207" s="66">
        <v>177</v>
      </c>
      <c r="AE207" s="67"/>
      <c r="AF207" s="67"/>
      <c r="AG207" s="67"/>
      <c r="AH207" s="68"/>
    </row>
    <row r="208" spans="22:35" x14ac:dyDescent="0.25">
      <c r="V208" s="66"/>
      <c r="W208" s="67"/>
      <c r="X208" s="72"/>
      <c r="Y208" s="67"/>
      <c r="Z208" s="68"/>
      <c r="AD208" s="66">
        <v>178</v>
      </c>
      <c r="AE208" s="67"/>
      <c r="AF208" s="67"/>
      <c r="AG208" s="67"/>
      <c r="AH208" s="68"/>
    </row>
    <row r="209" spans="22:35" x14ac:dyDescent="0.25">
      <c r="V209" s="66"/>
      <c r="W209" s="67"/>
      <c r="X209" s="72"/>
      <c r="Y209" s="67"/>
      <c r="Z209" s="68"/>
      <c r="AD209" s="66">
        <v>179</v>
      </c>
      <c r="AE209" s="67"/>
      <c r="AF209" s="72"/>
      <c r="AG209" s="67"/>
      <c r="AH209" s="68"/>
    </row>
    <row r="210" spans="22:35" ht="15.75" thickBot="1" x14ac:dyDescent="0.3">
      <c r="V210" s="69"/>
      <c r="W210" s="70"/>
      <c r="X210" s="75"/>
      <c r="Y210" s="70"/>
      <c r="Z210" s="71"/>
      <c r="AA210" s="100">
        <f>Z210</f>
        <v>0</v>
      </c>
      <c r="AD210" s="69">
        <v>180</v>
      </c>
      <c r="AE210" s="70"/>
      <c r="AF210" s="75"/>
      <c r="AG210" s="70"/>
      <c r="AH210" s="71"/>
      <c r="AI210" s="100">
        <f>AH210</f>
        <v>0</v>
      </c>
    </row>
  </sheetData>
  <mergeCells count="39">
    <mergeCell ref="J70:J71"/>
    <mergeCell ref="E68:E69"/>
    <mergeCell ref="F68:F69"/>
    <mergeCell ref="G68:G69"/>
    <mergeCell ref="H68:H69"/>
    <mergeCell ref="I68:I69"/>
    <mergeCell ref="J68:J69"/>
    <mergeCell ref="E70:E71"/>
    <mergeCell ref="F70:F71"/>
    <mergeCell ref="G70:G71"/>
    <mergeCell ref="H70:H71"/>
    <mergeCell ref="I70:I71"/>
    <mergeCell ref="J66:J67"/>
    <mergeCell ref="E64:E65"/>
    <mergeCell ref="F64:F65"/>
    <mergeCell ref="G64:G65"/>
    <mergeCell ref="H64:H65"/>
    <mergeCell ref="I64:I65"/>
    <mergeCell ref="J64:J65"/>
    <mergeCell ref="E66:E67"/>
    <mergeCell ref="F66:F67"/>
    <mergeCell ref="G66:G67"/>
    <mergeCell ref="H66:H67"/>
    <mergeCell ref="I66:I67"/>
    <mergeCell ref="J62:J63"/>
    <mergeCell ref="V27:Z28"/>
    <mergeCell ref="AD27:AH28"/>
    <mergeCell ref="A30:A31"/>
    <mergeCell ref="E60:E61"/>
    <mergeCell ref="F60:F61"/>
    <mergeCell ref="G60:G61"/>
    <mergeCell ref="H60:H61"/>
    <mergeCell ref="I60:I61"/>
    <mergeCell ref="J60:J61"/>
    <mergeCell ref="E62:E63"/>
    <mergeCell ref="F62:F63"/>
    <mergeCell ref="G62:G63"/>
    <mergeCell ref="H62:H63"/>
    <mergeCell ref="I62:I63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cashflow FVE (15)</vt:lpstr>
      <vt:lpstr>odkupní tabulka (15)</vt:lpstr>
      <vt:lpstr>pronájem BESS (10)</vt:lpstr>
      <vt:lpstr>odkupní tabulka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Vladislav Váňa</dc:creator>
  <dc:description/>
  <cp:lastModifiedBy>Vladislav Váňa</cp:lastModifiedBy>
  <cp:revision>0</cp:revision>
  <cp:lastPrinted>2026-04-24T07:32:05Z</cp:lastPrinted>
  <dcterms:created xsi:type="dcterms:W3CDTF">2026-02-12T10:16:37Z</dcterms:created>
  <dcterms:modified xsi:type="dcterms:W3CDTF">2026-07-14T11:37:30Z</dcterms:modified>
  <dc:language>en-US</dc:language>
</cp:coreProperties>
</file>